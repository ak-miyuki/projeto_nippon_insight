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miyu\Documents\GitHub - Repositórios\projeto_nippon_insight\"/>
    </mc:Choice>
  </mc:AlternateContent>
  <xr:revisionPtr revIDLastSave="0" documentId="13_ncr:1_{E7D3F9BC-A625-42AC-A72C-D7551C593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Listas" sheetId="2" r:id="rId2"/>
  </sheets>
  <definedNames>
    <definedName name="_xlnm._FilterDatabase" localSheetId="0" hidden="1">BACKLOG!$A$1:$L$44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G16" i="1"/>
  <c r="J15" i="1"/>
  <c r="G15" i="1"/>
  <c r="J5" i="1"/>
  <c r="J6" i="1"/>
  <c r="J7" i="1"/>
  <c r="J8" i="1"/>
  <c r="G5" i="1"/>
  <c r="G6" i="1"/>
  <c r="G7" i="1"/>
  <c r="P6" i="1"/>
  <c r="J3" i="1"/>
  <c r="J4" i="1"/>
  <c r="J9" i="1"/>
  <c r="J10" i="1"/>
  <c r="J11" i="1"/>
  <c r="J12" i="1"/>
  <c r="J13" i="1"/>
  <c r="J14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" i="1"/>
  <c r="G27" i="1"/>
  <c r="G30" i="1"/>
  <c r="G33" i="1"/>
  <c r="G36" i="1"/>
  <c r="G39" i="1"/>
  <c r="G8" i="1"/>
  <c r="G9" i="1"/>
  <c r="G12" i="1"/>
  <c r="G14" i="1"/>
  <c r="C4" i="2"/>
  <c r="P5" i="1" l="1"/>
  <c r="P4" i="1"/>
  <c r="G28" i="1"/>
  <c r="G31" i="1"/>
  <c r="G34" i="1"/>
  <c r="G40" i="1"/>
  <c r="G41" i="1"/>
  <c r="G42" i="1"/>
  <c r="G4" i="1"/>
  <c r="G10" i="1"/>
  <c r="G11" i="1"/>
  <c r="G13" i="1"/>
  <c r="G17" i="1"/>
  <c r="G18" i="1"/>
  <c r="G25" i="1"/>
  <c r="G44" i="1"/>
  <c r="G2" i="1"/>
  <c r="C5" i="2"/>
  <c r="C6" i="2"/>
  <c r="G37" i="1" s="1"/>
  <c r="P3" i="1" l="1"/>
  <c r="O3" i="1"/>
  <c r="Q3" i="1" s="1"/>
  <c r="G38" i="1"/>
  <c r="G29" i="1"/>
  <c r="G32" i="1"/>
  <c r="G35" i="1"/>
  <c r="G26" i="1"/>
  <c r="G3" i="1"/>
  <c r="O4" i="1" s="1"/>
  <c r="Q4" i="1" s="1"/>
  <c r="G19" i="1"/>
  <c r="G20" i="1"/>
  <c r="G21" i="1"/>
  <c r="G22" i="1"/>
  <c r="G23" i="1"/>
  <c r="G24" i="1"/>
  <c r="G43" i="1"/>
  <c r="O5" i="1" l="1"/>
  <c r="Q5" i="1" s="1"/>
  <c r="P7" i="1"/>
  <c r="P2" i="1"/>
  <c r="O6" i="1"/>
  <c r="Q6" i="1" s="1"/>
  <c r="O2" i="1" l="1"/>
  <c r="O7" i="1"/>
  <c r="Q7" i="1"/>
  <c r="Q2" i="1"/>
</calcChain>
</file>

<file path=xl/sharedStrings.xml><?xml version="1.0" encoding="utf-8"?>
<sst xmlns="http://schemas.openxmlformats.org/spreadsheetml/2006/main" count="167" uniqueCount="75">
  <si>
    <t>REQUISITOS</t>
  </si>
  <si>
    <t>#</t>
  </si>
  <si>
    <t>DESCRIÇÃO</t>
  </si>
  <si>
    <t>CLASSIFICAÇÃO</t>
  </si>
  <si>
    <t># TAMANHO</t>
  </si>
  <si>
    <t>FIBONACCI</t>
  </si>
  <si>
    <t>PRIORIDADE</t>
  </si>
  <si>
    <t>PRAZO</t>
  </si>
  <si>
    <t>DATA DE FINALIZAÇÃO</t>
  </si>
  <si>
    <t>REVISADO</t>
  </si>
  <si>
    <t>PLANEJADO</t>
  </si>
  <si>
    <t>ENTREGUE</t>
  </si>
  <si>
    <t>PENDENTE</t>
  </si>
  <si>
    <r>
      <rPr>
        <sz val="11"/>
        <color rgb="FF000000"/>
        <rFont val="Aptos Narrow"/>
        <scheme val="minor"/>
      </rPr>
      <t xml:space="preserve">Escolha do </t>
    </r>
    <r>
      <rPr>
        <b/>
        <sz val="11"/>
        <color rgb="FF000000"/>
        <rFont val="Aptos Narrow"/>
        <scheme val="minor"/>
      </rPr>
      <t>TEMA</t>
    </r>
  </si>
  <si>
    <t>Definir o tema que me represente ou algo do meu gosto</t>
  </si>
  <si>
    <t>ESSENCIAL</t>
  </si>
  <si>
    <t>M</t>
  </si>
  <si>
    <t>TOTAL</t>
  </si>
  <si>
    <r>
      <rPr>
        <b/>
        <sz val="11"/>
        <color rgb="FF000000"/>
        <rFont val="Aptos Narrow"/>
      </rPr>
      <t xml:space="preserve">Documentação </t>
    </r>
    <r>
      <rPr>
        <sz val="11"/>
        <color rgb="FF000000"/>
        <rFont val="Aptos Narrow"/>
      </rPr>
      <t>do projeto</t>
    </r>
  </si>
  <si>
    <t>Contexto do por que me representa</t>
  </si>
  <si>
    <t>G</t>
  </si>
  <si>
    <t>Como funciona</t>
  </si>
  <si>
    <t>DESEJÁVEL</t>
  </si>
  <si>
    <t>P</t>
  </si>
  <si>
    <r>
      <rPr>
        <sz val="11"/>
        <color rgb="FF000000"/>
        <rFont val="Aptos Narrow"/>
        <scheme val="minor"/>
      </rPr>
      <t xml:space="preserve">Criação do </t>
    </r>
    <r>
      <rPr>
        <b/>
        <sz val="11"/>
        <color rgb="FF000000"/>
        <rFont val="Aptos Narrow"/>
        <scheme val="minor"/>
      </rPr>
      <t>BACKLOG</t>
    </r>
  </si>
  <si>
    <r>
      <rPr>
        <sz val="11"/>
        <color rgb="FF000000"/>
        <rFont val="Aptos Narrow"/>
        <scheme val="minor"/>
      </rPr>
      <t xml:space="preserve">Definir os </t>
    </r>
    <r>
      <rPr>
        <b/>
        <sz val="11"/>
        <color rgb="FF000000"/>
        <rFont val="Aptos Narrow"/>
        <scheme val="minor"/>
      </rPr>
      <t>requisitos</t>
    </r>
    <r>
      <rPr>
        <sz val="11"/>
        <color rgb="FF000000"/>
        <rFont val="Aptos Narrow"/>
        <scheme val="minor"/>
      </rPr>
      <t xml:space="preserve"> do projeto</t>
    </r>
  </si>
  <si>
    <r>
      <rPr>
        <b/>
        <sz val="11"/>
        <color rgb="FF000000"/>
        <rFont val="Aptos Narrow"/>
        <scheme val="minor"/>
      </rPr>
      <t>Classificar</t>
    </r>
    <r>
      <rPr>
        <sz val="11"/>
        <color rgb="FF000000"/>
        <rFont val="Aptos Narrow"/>
        <scheme val="minor"/>
      </rPr>
      <t xml:space="preserve"> os requisitos</t>
    </r>
  </si>
  <si>
    <t>IMPORTANTE</t>
  </si>
  <si>
    <t>MÉDIA</t>
  </si>
  <si>
    <r>
      <rPr>
        <b/>
        <sz val="11"/>
        <color rgb="FF000000"/>
        <rFont val="Aptos Narrow"/>
      </rPr>
      <t>Estimar</t>
    </r>
    <r>
      <rPr>
        <sz val="11"/>
        <color rgb="FF000000"/>
        <rFont val="Aptos Narrow"/>
      </rPr>
      <t xml:space="preserve"> os requisitos</t>
    </r>
  </si>
  <si>
    <r>
      <rPr>
        <b/>
        <sz val="11"/>
        <color rgb="FF000000"/>
        <rFont val="Aptos Narrow"/>
      </rPr>
      <t>Priorizar</t>
    </r>
    <r>
      <rPr>
        <sz val="11"/>
        <color rgb="FF000000"/>
        <rFont val="Aptos Narrow"/>
      </rPr>
      <t xml:space="preserve"> os requisitos</t>
    </r>
  </si>
  <si>
    <r>
      <rPr>
        <sz val="11"/>
        <color rgb="FF000000"/>
        <rFont val="Aptos Narrow"/>
      </rPr>
      <t xml:space="preserve">Definir os </t>
    </r>
    <r>
      <rPr>
        <b/>
        <sz val="11"/>
        <color rgb="FF000000"/>
        <rFont val="Aptos Narrow"/>
      </rPr>
      <t>SPRINT BACKLOGs</t>
    </r>
  </si>
  <si>
    <r>
      <rPr>
        <sz val="11"/>
        <color rgb="FF000000"/>
        <rFont val="Aptos Narrow"/>
        <scheme val="minor"/>
      </rPr>
      <t xml:space="preserve">Planejamento no </t>
    </r>
    <r>
      <rPr>
        <b/>
        <sz val="11"/>
        <color rgb="FF000000"/>
        <rFont val="Aptos Narrow"/>
        <scheme val="minor"/>
      </rPr>
      <t>Trello</t>
    </r>
  </si>
  <si>
    <t>Povoar os requisitos do backlog no Trello</t>
  </si>
  <si>
    <r>
      <rPr>
        <sz val="11"/>
        <color rgb="FF000000"/>
        <rFont val="Aptos Narrow"/>
        <scheme val="minor"/>
      </rPr>
      <t xml:space="preserve">Utilização do </t>
    </r>
    <r>
      <rPr>
        <b/>
        <sz val="11"/>
        <color rgb="FF000000"/>
        <rFont val="Aptos Narrow"/>
        <scheme val="minor"/>
      </rPr>
      <t>Git</t>
    </r>
  </si>
  <si>
    <t>Criar um repositório para o projeto individual</t>
  </si>
  <si>
    <t>PP</t>
  </si>
  <si>
    <r>
      <rPr>
        <sz val="11"/>
        <color rgb="FF000000"/>
        <rFont val="Aptos Narrow"/>
        <scheme val="minor"/>
      </rPr>
      <t xml:space="preserve">Definição do </t>
    </r>
    <r>
      <rPr>
        <b/>
        <sz val="11"/>
        <color rgb="FF000000"/>
        <rFont val="Aptos Narrow"/>
        <scheme val="minor"/>
      </rPr>
      <t>Dashboard</t>
    </r>
  </si>
  <si>
    <r>
      <rPr>
        <sz val="11"/>
        <color rgb="FF000000"/>
        <rFont val="Aptos Narrow"/>
        <scheme val="minor"/>
      </rPr>
      <t xml:space="preserve">Escolher quais serão os </t>
    </r>
    <r>
      <rPr>
        <b/>
        <sz val="11"/>
        <color rgb="FF000000"/>
        <rFont val="Aptos Narrow"/>
        <scheme val="minor"/>
      </rPr>
      <t>Gráficos</t>
    </r>
  </si>
  <si>
    <r>
      <rPr>
        <sz val="11"/>
        <color rgb="FF000000"/>
        <rFont val="Aptos Narrow"/>
        <scheme val="minor"/>
      </rPr>
      <t>Definir os indicadores (</t>
    </r>
    <r>
      <rPr>
        <b/>
        <sz val="11"/>
        <color rgb="FF000000"/>
        <rFont val="Aptos Narrow"/>
        <scheme val="minor"/>
      </rPr>
      <t>KPI</t>
    </r>
    <r>
      <rPr>
        <sz val="11"/>
        <color rgb="FF000000"/>
        <rFont val="Aptos Narrow"/>
        <scheme val="minor"/>
      </rPr>
      <t>)</t>
    </r>
  </si>
  <si>
    <r>
      <rPr>
        <sz val="11"/>
        <color rgb="FF000000"/>
        <rFont val="Aptos Narrow"/>
        <scheme val="minor"/>
      </rPr>
      <t xml:space="preserve">Criação do </t>
    </r>
    <r>
      <rPr>
        <b/>
        <sz val="11"/>
        <color rgb="FF000000"/>
        <rFont val="Aptos Narrow"/>
        <scheme val="minor"/>
      </rPr>
      <t>SITE</t>
    </r>
  </si>
  <si>
    <r>
      <rPr>
        <b/>
        <sz val="11"/>
        <color rgb="FF000000"/>
        <rFont val="Aptos Narrow"/>
        <scheme val="minor"/>
      </rPr>
      <t>Header:</t>
    </r>
    <r>
      <rPr>
        <sz val="11"/>
        <color rgb="FF000000"/>
        <rFont val="Aptos Narrow"/>
        <scheme val="minor"/>
      </rPr>
      <t xml:space="preserve"> HTML e CSS</t>
    </r>
  </si>
  <si>
    <r>
      <rPr>
        <b/>
        <sz val="11"/>
        <color rgb="FF000000"/>
        <rFont val="Aptos Narrow"/>
      </rPr>
      <t>Header:</t>
    </r>
    <r>
      <rPr>
        <sz val="11"/>
        <color rgb="FF000000"/>
        <rFont val="Aptos Narrow"/>
      </rPr>
      <t xml:space="preserve"> JS (Navegação)</t>
    </r>
  </si>
  <si>
    <r>
      <rPr>
        <b/>
        <sz val="11"/>
        <color rgb="FF000000"/>
        <rFont val="Aptos Narrow"/>
      </rPr>
      <t xml:space="preserve">Footer: </t>
    </r>
    <r>
      <rPr>
        <sz val="11"/>
        <color rgb="FF000000"/>
        <rFont val="Aptos Narrow"/>
      </rPr>
      <t>HTML e CSS</t>
    </r>
  </si>
  <si>
    <r>
      <rPr>
        <b/>
        <sz val="11"/>
        <color rgb="FF000000"/>
        <rFont val="Aptos Narrow"/>
      </rPr>
      <t xml:space="preserve">Footer: </t>
    </r>
    <r>
      <rPr>
        <sz val="11"/>
        <color rgb="FF000000"/>
        <rFont val="Aptos Narrow"/>
      </rPr>
      <t>JS (redirecionar para o Git, Trello)</t>
    </r>
  </si>
  <si>
    <r>
      <rPr>
        <b/>
        <sz val="11"/>
        <color rgb="FF000000"/>
        <rFont val="Aptos Narrow"/>
        <scheme val="minor"/>
      </rPr>
      <t xml:space="preserve">Index: </t>
    </r>
    <r>
      <rPr>
        <sz val="11"/>
        <color rgb="FF000000"/>
        <rFont val="Aptos Narrow"/>
        <scheme val="minor"/>
      </rPr>
      <t>apresentação do site</t>
    </r>
  </si>
  <si>
    <r>
      <rPr>
        <b/>
        <sz val="11"/>
        <color rgb="FF000000"/>
        <rFont val="Aptos Narrow"/>
      </rPr>
      <t xml:space="preserve">Index: </t>
    </r>
    <r>
      <rPr>
        <sz val="11"/>
        <color rgb="FF000000"/>
        <rFont val="Aptos Narrow"/>
      </rPr>
      <t>sobre mim e agradecimentos</t>
    </r>
  </si>
  <si>
    <r>
      <rPr>
        <b/>
        <sz val="11"/>
        <color rgb="FF000000"/>
        <rFont val="Aptos Narrow"/>
      </rPr>
      <t xml:space="preserve">Index: </t>
    </r>
    <r>
      <rPr>
        <sz val="11"/>
        <color rgb="FF000000"/>
        <rFont val="Aptos Narrow"/>
      </rPr>
      <t>como funciona</t>
    </r>
  </si>
  <si>
    <r>
      <rPr>
        <b/>
        <sz val="11"/>
        <color rgb="FF000000"/>
        <rFont val="Aptos Narrow"/>
      </rPr>
      <t xml:space="preserve">Index: </t>
    </r>
    <r>
      <rPr>
        <sz val="11"/>
        <color rgb="FF000000"/>
        <rFont val="Aptos Narrow"/>
      </rPr>
      <t>CSS</t>
    </r>
  </si>
  <si>
    <r>
      <rPr>
        <b/>
        <sz val="11"/>
        <color rgb="FF000000"/>
        <rFont val="Aptos Narrow"/>
      </rPr>
      <t xml:space="preserve">Cadastro: </t>
    </r>
    <r>
      <rPr>
        <sz val="11"/>
        <color rgb="FF000000"/>
        <rFont val="Aptos Narrow"/>
      </rPr>
      <t>HTML</t>
    </r>
  </si>
  <si>
    <r>
      <rPr>
        <b/>
        <sz val="11"/>
        <color rgb="FF000000"/>
        <rFont val="Aptos Narrow"/>
      </rPr>
      <t xml:space="preserve">Cadastro: </t>
    </r>
    <r>
      <rPr>
        <sz val="11"/>
        <color rgb="FF000000"/>
        <rFont val="Aptos Narrow"/>
      </rPr>
      <t>Validações com JS</t>
    </r>
  </si>
  <si>
    <r>
      <rPr>
        <b/>
        <sz val="11"/>
        <color rgb="FF000000"/>
        <rFont val="Aptos Narrow"/>
      </rPr>
      <t xml:space="preserve">Cadastro: </t>
    </r>
    <r>
      <rPr>
        <sz val="11"/>
        <color rgb="FF000000"/>
        <rFont val="Aptos Narrow"/>
      </rPr>
      <t>CSS</t>
    </r>
  </si>
  <si>
    <r>
      <rPr>
        <b/>
        <sz val="11"/>
        <color rgb="FF000000"/>
        <rFont val="Aptos Narrow"/>
      </rPr>
      <t xml:space="preserve">Login: </t>
    </r>
    <r>
      <rPr>
        <sz val="11"/>
        <color rgb="FF000000"/>
        <rFont val="Aptos Narrow"/>
      </rPr>
      <t>HTML</t>
    </r>
  </si>
  <si>
    <r>
      <rPr>
        <b/>
        <sz val="11"/>
        <color rgb="FF000000"/>
        <rFont val="Aptos Narrow"/>
      </rPr>
      <t xml:space="preserve">Login: </t>
    </r>
    <r>
      <rPr>
        <sz val="11"/>
        <color rgb="FF000000"/>
        <rFont val="Aptos Narrow"/>
      </rPr>
      <t>Validações com JS</t>
    </r>
  </si>
  <si>
    <r>
      <rPr>
        <b/>
        <sz val="11"/>
        <color rgb="FF000000"/>
        <rFont val="Aptos Narrow"/>
      </rPr>
      <t xml:space="preserve">Login: </t>
    </r>
    <r>
      <rPr>
        <sz val="11"/>
        <color rgb="FF000000"/>
        <rFont val="Aptos Narrow"/>
      </rPr>
      <t>CSS</t>
    </r>
  </si>
  <si>
    <r>
      <rPr>
        <b/>
        <sz val="11"/>
        <color rgb="FF000000"/>
        <rFont val="Aptos Narrow"/>
      </rPr>
      <t xml:space="preserve">Questionário: </t>
    </r>
    <r>
      <rPr>
        <sz val="11"/>
        <color rgb="FF000000"/>
        <rFont val="Aptos Narrow"/>
      </rPr>
      <t>HTML</t>
    </r>
  </si>
  <si>
    <r>
      <rPr>
        <b/>
        <sz val="11"/>
        <color rgb="FF000000"/>
        <rFont val="Aptos Narrow"/>
      </rPr>
      <t xml:space="preserve">Questionário: </t>
    </r>
    <r>
      <rPr>
        <sz val="11"/>
        <color rgb="FF000000"/>
        <rFont val="Aptos Narrow"/>
      </rPr>
      <t>Validações com JS</t>
    </r>
  </si>
  <si>
    <r>
      <rPr>
        <b/>
        <sz val="11"/>
        <color rgb="FF000000"/>
        <rFont val="Aptos Narrow"/>
      </rPr>
      <t xml:space="preserve">Questionário: </t>
    </r>
    <r>
      <rPr>
        <sz val="11"/>
        <color rgb="FF000000"/>
        <rFont val="Aptos Narrow"/>
      </rPr>
      <t>CSS</t>
    </r>
  </si>
  <si>
    <r>
      <rPr>
        <b/>
        <sz val="11"/>
        <color rgb="FF000000"/>
        <rFont val="Aptos Narrow"/>
      </rPr>
      <t xml:space="preserve">DASHBOARD: </t>
    </r>
    <r>
      <rPr>
        <sz val="11"/>
        <color rgb="FF000000"/>
        <rFont val="Aptos Narrow"/>
      </rPr>
      <t>HTML</t>
    </r>
  </si>
  <si>
    <r>
      <rPr>
        <b/>
        <sz val="11"/>
        <color rgb="FF000000"/>
        <rFont val="Aptos Narrow"/>
      </rPr>
      <t xml:space="preserve">DASHBOARD: </t>
    </r>
    <r>
      <rPr>
        <sz val="11"/>
        <color rgb="FF000000"/>
        <rFont val="Aptos Narrow"/>
      </rPr>
      <t>JS e API</t>
    </r>
  </si>
  <si>
    <t>GG</t>
  </si>
  <si>
    <r>
      <rPr>
        <b/>
        <sz val="11"/>
        <color rgb="FF000000"/>
        <rFont val="Aptos Narrow"/>
      </rPr>
      <t xml:space="preserve">DASHBOARD: </t>
    </r>
    <r>
      <rPr>
        <sz val="11"/>
        <color rgb="FF000000"/>
        <rFont val="Aptos Narrow"/>
      </rPr>
      <t>CSS</t>
    </r>
  </si>
  <si>
    <r>
      <rPr>
        <sz val="11"/>
        <color rgb="FF000000"/>
        <rFont val="Aptos Narrow"/>
        <scheme val="minor"/>
      </rPr>
      <t xml:space="preserve">Banco de dados no </t>
    </r>
    <r>
      <rPr>
        <b/>
        <sz val="11"/>
        <color rgb="FF000000"/>
        <rFont val="Aptos Narrow"/>
        <scheme val="minor"/>
      </rPr>
      <t>MySQL</t>
    </r>
  </si>
  <si>
    <r>
      <rPr>
        <sz val="11"/>
        <color rgb="FF000000"/>
        <rFont val="Aptos Narrow"/>
        <scheme val="minor"/>
      </rPr>
      <t xml:space="preserve">Criar um usuário próprio para o projeto com conexão no </t>
    </r>
    <r>
      <rPr>
        <b/>
        <sz val="11"/>
        <color rgb="FF000000"/>
        <rFont val="Aptos Narrow"/>
        <scheme val="minor"/>
      </rPr>
      <t>MySQL</t>
    </r>
    <r>
      <rPr>
        <sz val="11"/>
        <color rgb="FF000000"/>
        <rFont val="Aptos Narrow"/>
        <scheme val="minor"/>
      </rPr>
      <t xml:space="preserve"> server dentro da </t>
    </r>
    <r>
      <rPr>
        <b/>
        <sz val="11"/>
        <color rgb="FF000000"/>
        <rFont val="Aptos Narrow"/>
        <scheme val="minor"/>
      </rPr>
      <t xml:space="preserve">VM </t>
    </r>
    <r>
      <rPr>
        <sz val="11"/>
        <color rgb="FF000000"/>
        <rFont val="Aptos Narrow"/>
        <scheme val="minor"/>
      </rPr>
      <t xml:space="preserve">na porta </t>
    </r>
    <r>
      <rPr>
        <b/>
        <sz val="11"/>
        <color rgb="FF000000"/>
        <rFont val="Aptos Narrow"/>
        <scheme val="minor"/>
      </rPr>
      <t>3307</t>
    </r>
  </si>
  <si>
    <r>
      <rPr>
        <sz val="11"/>
        <color rgb="FF000000"/>
        <rFont val="Aptos Narrow"/>
        <scheme val="minor"/>
      </rPr>
      <t xml:space="preserve">Criar a </t>
    </r>
    <r>
      <rPr>
        <b/>
        <sz val="11"/>
        <color rgb="FF000000"/>
        <rFont val="Aptos Narrow"/>
        <scheme val="minor"/>
      </rPr>
      <t>modelagem</t>
    </r>
  </si>
  <si>
    <r>
      <rPr>
        <sz val="11"/>
        <color rgb="FF000000"/>
        <rFont val="Aptos Narrow"/>
        <scheme val="minor"/>
      </rPr>
      <t xml:space="preserve">Criar as </t>
    </r>
    <r>
      <rPr>
        <b/>
        <sz val="11"/>
        <color rgb="FF000000"/>
        <rFont val="Aptos Narrow"/>
        <scheme val="minor"/>
      </rPr>
      <t>tabelas</t>
    </r>
    <r>
      <rPr>
        <sz val="11"/>
        <color rgb="FF000000"/>
        <rFont val="Aptos Narrow"/>
        <scheme val="minor"/>
      </rPr>
      <t xml:space="preserve"> no script</t>
    </r>
  </si>
  <si>
    <r>
      <rPr>
        <sz val="11"/>
        <color rgb="FF000000"/>
        <rFont val="Aptos Narrow"/>
        <scheme val="minor"/>
      </rPr>
      <t xml:space="preserve">Fazer </t>
    </r>
    <r>
      <rPr>
        <b/>
        <sz val="11"/>
        <color rgb="FF000000"/>
        <rFont val="Aptos Narrow"/>
        <scheme val="minor"/>
      </rPr>
      <t>INSERTS e SELECTS</t>
    </r>
  </si>
  <si>
    <t>Apresentação</t>
  </si>
  <si>
    <r>
      <rPr>
        <sz val="11"/>
        <color rgb="FF000000"/>
        <rFont val="Aptos Narrow"/>
        <scheme val="minor"/>
      </rPr>
      <t xml:space="preserve">Fazer os </t>
    </r>
    <r>
      <rPr>
        <b/>
        <sz val="11"/>
        <color rgb="FF000000"/>
        <rFont val="Aptos Narrow"/>
        <scheme val="minor"/>
      </rPr>
      <t>slides</t>
    </r>
  </si>
  <si>
    <r>
      <rPr>
        <sz val="11"/>
        <color rgb="FF000000"/>
        <rFont val="Aptos Narrow"/>
      </rPr>
      <t xml:space="preserve">Escrever o </t>
    </r>
    <r>
      <rPr>
        <b/>
        <sz val="11"/>
        <color rgb="FF000000"/>
        <rFont val="Aptos Narrow"/>
      </rPr>
      <t>roteiro da apresentação:</t>
    </r>
  </si>
  <si>
    <t>Escopo</t>
  </si>
  <si>
    <t>Determinar a ODS em que o projeto se encaixa</t>
  </si>
  <si>
    <t>Objetivo  e justificativa do site/projeto</t>
  </si>
  <si>
    <r>
      <t xml:space="preserve">Fazer o </t>
    </r>
    <r>
      <rPr>
        <b/>
        <sz val="11"/>
        <color rgb="FF000000"/>
        <rFont val="Aptos Narrow"/>
        <family val="2"/>
        <scheme val="minor"/>
      </rPr>
      <t>protótipo do dashboard</t>
    </r>
  </si>
  <si>
    <r>
      <t xml:space="preserve">Fazer o </t>
    </r>
    <r>
      <rPr>
        <b/>
        <sz val="11"/>
        <color rgb="FF000000"/>
        <rFont val="Aptos Narrow"/>
        <family val="2"/>
        <scheme val="minor"/>
      </rPr>
      <t>protótipo do site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</si>
</sst>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7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b/>
      <sz val="12"/>
      <color theme="0"/>
      <name val="Aptos Narrow"/>
      <family val="2"/>
      <scheme val="minor"/>
    </font>
    <font>
      <sz val="11"/>
      <color rgb="FFB30C6B"/>
      <name val="Aptos Narrow"/>
      <family val="2"/>
      <scheme val="minor"/>
    </font>
    <font>
      <b/>
      <sz val="12"/>
      <color rgb="FFB30C6B"/>
      <name val="Aptos Narrow"/>
      <family val="2"/>
      <scheme val="minor"/>
    </font>
    <font>
      <b/>
      <sz val="11"/>
      <color rgb="FFB30C6B"/>
      <name val="Aptos Narrow"/>
      <family val="2"/>
      <scheme val="minor"/>
    </font>
    <font>
      <sz val="11"/>
      <color rgb="FFFCF2F6"/>
      <name val="Aptos Narrow"/>
      <family val="2"/>
      <scheme val="minor"/>
    </font>
    <font>
      <sz val="11"/>
      <color rgb="FFCC5894"/>
      <name val="Aptos Narrow"/>
      <family val="2"/>
      <scheme val="minor"/>
    </font>
    <font>
      <b/>
      <sz val="11"/>
      <color rgb="FF20AEB3"/>
      <name val="Aptos Narrow"/>
      <family val="2"/>
      <scheme val="minor"/>
    </font>
    <font>
      <b/>
      <sz val="11"/>
      <color rgb="FFDB7F4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3207D"/>
        <bgColor indexed="64"/>
      </patternFill>
    </fill>
    <fill>
      <patternFill patternType="solid">
        <fgColor rgb="FFFCF2F6"/>
        <bgColor indexed="64"/>
      </patternFill>
    </fill>
    <fill>
      <patternFill patternType="solid">
        <fgColor rgb="FFF7CDE8"/>
        <bgColor indexed="64"/>
      </patternFill>
    </fill>
    <fill>
      <patternFill patternType="solid">
        <fgColor rgb="FFFAD7EB"/>
        <bgColor indexed="64"/>
      </patternFill>
    </fill>
    <fill>
      <patternFill patternType="solid">
        <fgColor rgb="FFE381AC"/>
        <bgColor indexed="64"/>
      </patternFill>
    </fill>
    <fill>
      <patternFill patternType="solid">
        <fgColor rgb="FFB30C6B"/>
        <bgColor indexed="64"/>
      </patternFill>
    </fill>
    <fill>
      <patternFill patternType="solid">
        <fgColor rgb="FF20AEB3"/>
        <bgColor indexed="64"/>
      </patternFill>
    </fill>
    <fill>
      <patternFill patternType="solid">
        <fgColor rgb="FFDB7F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6" fillId="3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CC2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5F6"/>
      </font>
      <fill>
        <patternFill patternType="solid">
          <bgColor rgb="FFB30C6B"/>
        </patternFill>
      </fill>
    </dxf>
    <dxf>
      <font>
        <color rgb="FFFFF5F6"/>
      </font>
      <fill>
        <patternFill patternType="solid">
          <bgColor rgb="FFE381AC"/>
        </patternFill>
      </fill>
    </dxf>
    <dxf>
      <font>
        <color rgb="FFB30C6B"/>
      </font>
      <fill>
        <patternFill patternType="solid">
          <bgColor rgb="FFFAD7EB"/>
        </patternFill>
      </fill>
    </dxf>
    <dxf>
      <font>
        <color rgb="FFCC58B1"/>
      </font>
      <fill>
        <patternFill patternType="solid">
          <bgColor rgb="FFFCF2F6"/>
        </patternFill>
      </fill>
    </dxf>
    <dxf>
      <font>
        <color rgb="FF9C0006"/>
      </font>
      <fill>
        <patternFill patternType="solid">
          <bgColor rgb="FFFAD2DE"/>
        </patternFill>
      </fill>
    </dxf>
    <dxf>
      <font>
        <color rgb="FFB0630B"/>
      </font>
      <fill>
        <patternFill patternType="solid">
          <bgColor rgb="FFFAE8CD"/>
        </patternFill>
      </fill>
    </dxf>
    <dxf>
      <font>
        <color rgb="FF0A5C5E"/>
      </font>
      <fill>
        <patternFill patternType="solid">
          <bgColor rgb="FFA3E3E6"/>
        </patternFill>
      </fill>
    </dxf>
    <dxf>
      <font>
        <color rgb="FFFFF5F6"/>
      </font>
      <fill>
        <patternFill patternType="solid">
          <bgColor rgb="FFB30C6B"/>
        </patternFill>
      </fill>
    </dxf>
    <dxf>
      <font>
        <color rgb="FFFFF5F6"/>
      </font>
      <fill>
        <patternFill patternType="solid">
          <bgColor rgb="FFE381AC"/>
        </patternFill>
      </fill>
    </dxf>
    <dxf>
      <font>
        <color rgb="FFB30C6B"/>
      </font>
      <fill>
        <patternFill patternType="solid">
          <bgColor rgb="FFFAD7EB"/>
        </patternFill>
      </fill>
    </dxf>
    <dxf>
      <font>
        <color rgb="FFCC58B1"/>
      </font>
      <fill>
        <patternFill patternType="solid">
          <bgColor rgb="FFFCF2F6"/>
        </patternFill>
      </fill>
    </dxf>
  </dxfs>
  <tableStyles count="0" defaultTableStyle="TableStyleMedium2" defaultPivotStyle="PivotStyleMedium9"/>
  <colors>
    <mruColors>
      <color rgb="FFFCF2F6"/>
      <color rgb="FF0BC1BD"/>
      <color rgb="FF0DDCD7"/>
      <color rgb="FFE46297"/>
      <color rgb="FFB0630B"/>
      <color rgb="FFFAE8CD"/>
      <color rgb="FFA1850B"/>
      <color rgb="FFFCD62B"/>
      <color rgb="FFD17A0F"/>
      <color rgb="FFFAF1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BACKLOG!$O$1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E46297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BACKLOG!$N$2:$N$6</c:f>
              <c:strCache>
                <c:ptCount val="5"/>
                <c:pt idx="0">
                  <c:v>TOTAL</c:v>
                </c:pt>
                <c:pt idx="1">
                  <c:v>November 3, 2025</c:v>
                </c:pt>
                <c:pt idx="2">
                  <c:v>November 10, 2025</c:v>
                </c:pt>
                <c:pt idx="3">
                  <c:v>November 17, 2025</c:v>
                </c:pt>
                <c:pt idx="4">
                  <c:v>November 24, 2025</c:v>
                </c:pt>
              </c:strCache>
            </c:strRef>
          </c:cat>
          <c:val>
            <c:numRef>
              <c:f>BACKLOG!$O$2:$O$6</c:f>
              <c:numCache>
                <c:formatCode>General</c:formatCode>
                <c:ptCount val="5"/>
                <c:pt idx="0">
                  <c:v>403</c:v>
                </c:pt>
                <c:pt idx="1">
                  <c:v>50</c:v>
                </c:pt>
                <c:pt idx="2">
                  <c:v>113</c:v>
                </c:pt>
                <c:pt idx="3">
                  <c:v>133</c:v>
                </c:pt>
                <c:pt idx="4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E-4895-BB84-B14C13505D9B}"/>
            </c:ext>
          </c:extLst>
        </c:ser>
        <c:ser>
          <c:idx val="1"/>
          <c:order val="1"/>
          <c:tx>
            <c:strRef>
              <c:f>BACKLOG!$P$1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0DDCD7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BC1BD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A1-487F-9539-FEB18C970F86}"/>
              </c:ext>
            </c:extLst>
          </c:dPt>
          <c:cat>
            <c:strRef>
              <c:f>BACKLOG!$N$2:$N$6</c:f>
              <c:strCache>
                <c:ptCount val="5"/>
                <c:pt idx="0">
                  <c:v>TOTAL</c:v>
                </c:pt>
                <c:pt idx="1">
                  <c:v>November 3, 2025</c:v>
                </c:pt>
                <c:pt idx="2">
                  <c:v>November 10, 2025</c:v>
                </c:pt>
                <c:pt idx="3">
                  <c:v>November 17, 2025</c:v>
                </c:pt>
                <c:pt idx="4">
                  <c:v>November 24, 2025</c:v>
                </c:pt>
              </c:strCache>
            </c:strRef>
          </c:cat>
          <c:val>
            <c:numRef>
              <c:f>BACKLOG!$P$2:$P$6</c:f>
              <c:numCache>
                <c:formatCode>General</c:formatCode>
                <c:ptCount val="5"/>
                <c:pt idx="0">
                  <c:v>249</c:v>
                </c:pt>
                <c:pt idx="1">
                  <c:v>71</c:v>
                </c:pt>
                <c:pt idx="2">
                  <c:v>108</c:v>
                </c:pt>
                <c:pt idx="3">
                  <c:v>70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E-4895-BB84-B14C1350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318152"/>
        <c:axId val="1925320200"/>
      </c:lineChart>
      <c:catAx>
        <c:axId val="192531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320200"/>
        <c:crosses val="autoZero"/>
        <c:auto val="1"/>
        <c:lblAlgn val="ctr"/>
        <c:lblOffset val="100"/>
        <c:noMultiLvlLbl val="0"/>
      </c:catAx>
      <c:valAx>
        <c:axId val="192532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31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47</xdr:row>
      <xdr:rowOff>180975</xdr:rowOff>
    </xdr:from>
    <xdr:to>
      <xdr:col>4</xdr:col>
      <xdr:colOff>485775</xdr:colOff>
      <xdr:row>71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6C60C1-AC03-1D74-1BA2-5882EB95E2BB}"/>
            </a:ext>
          </a:extLst>
        </xdr:cNvPr>
        <xdr:cNvSpPr txBox="1"/>
      </xdr:nvSpPr>
      <xdr:spPr>
        <a:xfrm>
          <a:off x="1066800" y="9105900"/>
          <a:ext cx="3762375" cy="4467225"/>
        </a:xfrm>
        <a:prstGeom prst="verticalScroll">
          <a:avLst/>
        </a:prstGeom>
        <a:solidFill>
          <a:srgbClr val="FCF2F6"/>
        </a:solidFill>
        <a:ln w="9525" cmpd="sng">
          <a:solidFill>
            <a:srgbClr val="B30C6B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solidFill>
                <a:srgbClr val="B51972"/>
              </a:solidFill>
              <a:latin typeface="+mn-lt"/>
              <a:ea typeface="+mn-lt"/>
              <a:cs typeface="+mn-lt"/>
            </a:rPr>
            <a:t>R</a:t>
          </a:r>
          <a:r>
            <a:rPr lang="en-US" sz="1200" b="1" i="0" u="none" strike="noStrike">
              <a:solidFill>
                <a:srgbClr val="B51972"/>
              </a:solidFill>
              <a:latin typeface="Aptos Narrow" panose="020B0004020202020204" pitchFamily="34" charset="0"/>
            </a:rPr>
            <a:t>OTEIRO DA APRESENTAÇÃO:</a:t>
          </a:r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Em que momento da sua história (linha da vida) o interesse ou prazer por este tema despertou? Como está inserido no seu dia a dia e por que você escolheu este tema?</a:t>
          </a: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Você deve demonstrar quais valores seus estão representados em seu desafio individual.</a:t>
          </a: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Qual foi a maior dificuldade?</a:t>
          </a: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Qual foi a maior superação na realização desse desafio?</a:t>
          </a: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Há alguém que deva receber a sua gratidão por você ter conseguido chegar ao resultado final?</a:t>
          </a:r>
        </a:p>
      </xdr:txBody>
    </xdr:sp>
    <xdr:clientData/>
  </xdr:twoCellAnchor>
  <xdr:twoCellAnchor>
    <xdr:from>
      <xdr:col>12</xdr:col>
      <xdr:colOff>600075</xdr:colOff>
      <xdr:row>8</xdr:row>
      <xdr:rowOff>9525</xdr:rowOff>
    </xdr:from>
    <xdr:to>
      <xdr:col>18</xdr:col>
      <xdr:colOff>466725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18BC62-B91F-5E3D-11D5-BFE31AA52C3B}"/>
            </a:ext>
            <a:ext uri="{147F2762-F138-4A5C-976F-8EAC2B608ADB}">
              <a16:predDERef xmlns:a16="http://schemas.microsoft.com/office/drawing/2014/main" pred="{966C60C1-AC03-1D74-1BA2-5882EB95E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  <pageSetUpPr fitToPage="1"/>
  </sheetPr>
  <dimension ref="A1:Q70"/>
  <sheetViews>
    <sheetView tabSelected="1" zoomScale="70" zoomScaleNormal="70" workbookViewId="0">
      <selection activeCell="K38" sqref="K38"/>
    </sheetView>
  </sheetViews>
  <sheetFormatPr defaultColWidth="0" defaultRowHeight="14.4" x14ac:dyDescent="0.3"/>
  <cols>
    <col min="1" max="1" width="23.5546875" style="2" bestFit="1" customWidth="1"/>
    <col min="2" max="2" width="4.88671875" style="11" customWidth="1"/>
    <col min="3" max="3" width="4.33203125" style="11" bestFit="1" customWidth="1"/>
    <col min="4" max="4" width="48.88671875" style="1" customWidth="1"/>
    <col min="5" max="5" width="20.33203125" style="2" customWidth="1"/>
    <col min="6" max="6" width="18" style="2" customWidth="1"/>
    <col min="7" max="7" width="16.5546875" style="2" customWidth="1"/>
    <col min="8" max="8" width="18" style="2" customWidth="1"/>
    <col min="9" max="9" width="17.5546875" style="13" bestFit="1" customWidth="1"/>
    <col min="10" max="10" width="13.21875" style="2" customWidth="1"/>
    <col min="11" max="11" width="18.44140625" style="2" customWidth="1"/>
    <col min="12" max="12" width="16" style="2" customWidth="1"/>
    <col min="13" max="13" width="9.109375" style="2" customWidth="1"/>
    <col min="14" max="14" width="18.33203125" style="2" customWidth="1"/>
    <col min="15" max="15" width="12" style="2" bestFit="1" customWidth="1"/>
    <col min="16" max="17" width="11" style="2" bestFit="1" customWidth="1"/>
    <col min="18" max="21" width="9.109375" style="2" customWidth="1"/>
    <col min="22" max="16384" width="0" style="2" hidden="1"/>
  </cols>
  <sheetData>
    <row r="1" spans="1:17" s="32" customFormat="1" ht="15.6" x14ac:dyDescent="0.3">
      <c r="A1" s="14" t="s">
        <v>0</v>
      </c>
      <c r="B1" s="15" t="s">
        <v>1</v>
      </c>
      <c r="C1" s="1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6" t="s">
        <v>7</v>
      </c>
      <c r="J1" s="57" t="s">
        <v>8</v>
      </c>
      <c r="K1" s="57"/>
      <c r="L1" s="14" t="s">
        <v>9</v>
      </c>
      <c r="O1" s="14" t="s">
        <v>10</v>
      </c>
      <c r="P1" s="46" t="s">
        <v>11</v>
      </c>
      <c r="Q1" s="48" t="s">
        <v>12</v>
      </c>
    </row>
    <row r="2" spans="1:17" ht="15.6" x14ac:dyDescent="0.3">
      <c r="A2" s="12" t="s">
        <v>13</v>
      </c>
      <c r="B2" s="10">
        <v>1</v>
      </c>
      <c r="C2" s="10">
        <v>1</v>
      </c>
      <c r="D2" s="3" t="s">
        <v>14</v>
      </c>
      <c r="E2" s="2" t="s">
        <v>15</v>
      </c>
      <c r="F2" s="2" t="s">
        <v>16</v>
      </c>
      <c r="G2" s="2">
        <f>IF(F2="","",_xlfn.XLOOKUP(F2,Listas!$B$2:$B$7,Listas!$C$2:$C$7))</f>
        <v>8</v>
      </c>
      <c r="H2" s="2">
        <v>1</v>
      </c>
      <c r="I2" s="13">
        <v>45964</v>
      </c>
      <c r="J2" s="52" t="b">
        <f>IF(K2="","",TRUE)</f>
        <v>1</v>
      </c>
      <c r="K2" s="50">
        <v>45962</v>
      </c>
      <c r="L2" s="30" t="b">
        <v>0</v>
      </c>
      <c r="N2" s="16" t="s">
        <v>17</v>
      </c>
      <c r="O2" s="45">
        <f>SUM(O3:O6)</f>
        <v>403</v>
      </c>
      <c r="P2" s="47">
        <f t="shared" ref="P2:Q2" si="0">SUM(P3:P6)</f>
        <v>249</v>
      </c>
      <c r="Q2" s="49">
        <f t="shared" si="0"/>
        <v>133</v>
      </c>
    </row>
    <row r="3" spans="1:17" x14ac:dyDescent="0.3">
      <c r="A3" s="61" t="s">
        <v>18</v>
      </c>
      <c r="B3" s="18">
        <v>2</v>
      </c>
      <c r="C3" s="18">
        <v>1</v>
      </c>
      <c r="D3" s="19" t="s">
        <v>19</v>
      </c>
      <c r="E3" s="20" t="s">
        <v>15</v>
      </c>
      <c r="F3" s="20" t="s">
        <v>20</v>
      </c>
      <c r="G3" s="20">
        <f>IF(F3="","",_xlfn.XLOOKUP(F3,Listas!$B$2:$B$7,Listas!$C$2:$C$7))</f>
        <v>13</v>
      </c>
      <c r="H3" s="20">
        <v>2</v>
      </c>
      <c r="I3" s="21">
        <v>45971</v>
      </c>
      <c r="J3" s="52" t="b">
        <f t="shared" ref="J3:J44" si="1">IF(K3="","",TRUE)</f>
        <v>1</v>
      </c>
      <c r="K3" s="51">
        <v>45968</v>
      </c>
      <c r="L3" s="31" t="b">
        <v>0</v>
      </c>
      <c r="N3" s="40">
        <v>45964</v>
      </c>
      <c r="O3" s="41">
        <f>SUMPRODUCT(SUMIF($I$2:$I$44,N3,$G$2:$G$44))</f>
        <v>50</v>
      </c>
      <c r="P3" s="41">
        <f>SUMPRODUCT(SUMIFS($G$2:$G$44,$K$2:$K$44,"&lt;="&amp;N3,$J$2:$J$44,TRUE))</f>
        <v>71</v>
      </c>
      <c r="Q3" s="42">
        <f>O3-(SUMPRODUCT(SUMIFS($G$2:$G$44,$I$2:$I$44,N3,$J$2:$J$44,TRUE)))</f>
        <v>0</v>
      </c>
    </row>
    <row r="4" spans="1:17" ht="20.25" customHeight="1" x14ac:dyDescent="0.3">
      <c r="A4" s="61"/>
      <c r="B4" s="11">
        <v>2</v>
      </c>
      <c r="C4" s="11">
        <v>2</v>
      </c>
      <c r="D4" s="1" t="s">
        <v>72</v>
      </c>
      <c r="E4" s="2" t="s">
        <v>15</v>
      </c>
      <c r="F4" s="2" t="s">
        <v>16</v>
      </c>
      <c r="G4" s="2">
        <f>IF(F4="","",_xlfn.XLOOKUP(F4,Listas!$B$2:$B$7,Listas!$C$2:$C$7))</f>
        <v>8</v>
      </c>
      <c r="H4" s="2">
        <v>2</v>
      </c>
      <c r="I4" s="13">
        <v>45971</v>
      </c>
      <c r="J4" s="52" t="b">
        <f t="shared" si="1"/>
        <v>1</v>
      </c>
      <c r="K4" s="50">
        <v>45964</v>
      </c>
      <c r="L4" s="30" t="b">
        <v>0</v>
      </c>
      <c r="N4" s="35">
        <v>45971</v>
      </c>
      <c r="O4" s="43">
        <f>SUMPRODUCT(SUMIF($I$2:$I$44,N4,$G$2:$G$44))</f>
        <v>113</v>
      </c>
      <c r="P4" s="44">
        <f>SUMPRODUCT(SUMIFS($G$2:$G$44,$K$2:$K$44,"&gt;"&amp;N3,$K$2:$K$44,"&lt;="&amp;N4,$J$2:$J$44,TRUE))</f>
        <v>108</v>
      </c>
      <c r="Q4" s="44">
        <f>O4-(SUMPRODUCT(SUMIFS($G$2:$G$44,$I$2:$I$44,N4,$J$2:$J$44,TRUE)))</f>
        <v>21</v>
      </c>
    </row>
    <row r="5" spans="1:17" ht="15.75" customHeight="1" x14ac:dyDescent="0.3">
      <c r="A5" s="61"/>
      <c r="B5" s="22">
        <v>2</v>
      </c>
      <c r="C5" s="22">
        <v>3</v>
      </c>
      <c r="D5" s="19" t="s">
        <v>70</v>
      </c>
      <c r="E5" s="20" t="s">
        <v>15</v>
      </c>
      <c r="F5" s="20" t="s">
        <v>16</v>
      </c>
      <c r="G5" s="20">
        <f>IF(F5="","",_xlfn.XLOOKUP(F5,Listas!$B$2:$B$7,Listas!$C$2:$C$7))</f>
        <v>8</v>
      </c>
      <c r="H5" s="20">
        <v>1</v>
      </c>
      <c r="I5" s="21">
        <v>45971</v>
      </c>
      <c r="J5" s="52" t="b">
        <f t="shared" si="1"/>
        <v>1</v>
      </c>
      <c r="K5" s="51">
        <v>45964</v>
      </c>
      <c r="L5" s="31" t="b">
        <v>0</v>
      </c>
      <c r="N5" s="13">
        <v>45978</v>
      </c>
      <c r="O5" s="38">
        <f>SUMPRODUCT(SUMIF($I$2:$I$44,N5,$G$2:$G$44))</f>
        <v>133</v>
      </c>
      <c r="P5" s="39">
        <f>SUMPRODUCT(SUMIFS($G$2:$G$44,$K$2:$K$44,"&gt;"&amp;N4,$K$2:$K$44,"&lt;="&amp;N5,$J$2:$J$44,TRUE))</f>
        <v>70</v>
      </c>
      <c r="Q5" s="39">
        <f>O5-(SUMPRODUCT(SUMIFS($G$2:$G$44,$I$2:$I$44,N5,$J$2:$J$44,TRUE)))</f>
        <v>44</v>
      </c>
    </row>
    <row r="6" spans="1:17" ht="19.5" customHeight="1" x14ac:dyDescent="0.3">
      <c r="A6" s="61"/>
      <c r="B6" s="11">
        <v>2</v>
      </c>
      <c r="C6" s="11">
        <v>4</v>
      </c>
      <c r="D6" s="1" t="s">
        <v>71</v>
      </c>
      <c r="E6" s="2" t="s">
        <v>27</v>
      </c>
      <c r="F6" s="2" t="s">
        <v>36</v>
      </c>
      <c r="G6" s="2">
        <f>IF(F6="","",_xlfn.XLOOKUP(F6,Listas!$B$2:$B$7,Listas!$C$2:$C$7))</f>
        <v>3</v>
      </c>
      <c r="H6" s="2">
        <v>2</v>
      </c>
      <c r="I6" s="13">
        <v>45971</v>
      </c>
      <c r="J6" s="52" t="b">
        <f t="shared" si="1"/>
        <v>1</v>
      </c>
      <c r="K6" s="50">
        <v>45968</v>
      </c>
      <c r="L6" s="30" t="b">
        <v>0</v>
      </c>
      <c r="N6" s="13">
        <v>45985</v>
      </c>
      <c r="O6" s="36">
        <f>SUMPRODUCT(SUMIF($I$2:$I$44,N6,$G$2:$G$44))</f>
        <v>107</v>
      </c>
      <c r="P6" s="37">
        <f>SUMPRODUCT(SUMIFS($G$2:$G$44,$K$2:$K$44,"&gt;"&amp;N5,$K$2:$K$44,"&lt;="&amp;N6,$J$2:$J$44,TRUE))</f>
        <v>0</v>
      </c>
      <c r="Q6" s="37">
        <f>O6-(SUMPRODUCT(SUMIFS($G$2:$G$44,$I$2:$I$44,N6,$J$2:$J$44,TRUE)))</f>
        <v>68</v>
      </c>
    </row>
    <row r="7" spans="1:17" ht="15.6" x14ac:dyDescent="0.3">
      <c r="A7" s="61"/>
      <c r="B7" s="22">
        <v>2</v>
      </c>
      <c r="C7" s="22">
        <v>5</v>
      </c>
      <c r="D7" s="19" t="s">
        <v>21</v>
      </c>
      <c r="E7" s="20" t="s">
        <v>22</v>
      </c>
      <c r="F7" s="20" t="s">
        <v>23</v>
      </c>
      <c r="G7" s="20">
        <f>IF(F7="","",_xlfn.XLOOKUP(F7,Listas!$B$2:$B$7,Listas!$C$2:$C$7))</f>
        <v>5</v>
      </c>
      <c r="H7" s="20">
        <v>3</v>
      </c>
      <c r="I7" s="21">
        <v>45978</v>
      </c>
      <c r="J7" s="52" t="str">
        <f t="shared" si="1"/>
        <v/>
      </c>
      <c r="K7" s="51"/>
      <c r="L7" s="31" t="b">
        <v>0</v>
      </c>
      <c r="N7" s="33" t="s">
        <v>28</v>
      </c>
      <c r="O7" s="34">
        <f>AVERAGE(O3:O6)</f>
        <v>100.75</v>
      </c>
      <c r="P7" s="34">
        <f t="shared" ref="P7:Q7" si="2">AVERAGE(P3:P6)</f>
        <v>62.25</v>
      </c>
      <c r="Q7" s="34">
        <f t="shared" si="2"/>
        <v>33.25</v>
      </c>
    </row>
    <row r="8" spans="1:17" x14ac:dyDescent="0.3">
      <c r="A8" s="60" t="s">
        <v>24</v>
      </c>
      <c r="B8" s="11">
        <v>3</v>
      </c>
      <c r="C8" s="11">
        <v>1</v>
      </c>
      <c r="D8" s="4" t="s">
        <v>25</v>
      </c>
      <c r="E8" s="2" t="s">
        <v>15</v>
      </c>
      <c r="F8" s="2" t="s">
        <v>23</v>
      </c>
      <c r="G8" s="2">
        <f>IF(F8="","",_xlfn.XLOOKUP(F8,Listas!$B$2:$B$7,Listas!$C$2:$C$7))</f>
        <v>5</v>
      </c>
      <c r="H8" s="2">
        <v>1</v>
      </c>
      <c r="I8" s="13">
        <v>45964</v>
      </c>
      <c r="J8" s="52" t="b">
        <f t="shared" si="1"/>
        <v>1</v>
      </c>
      <c r="K8" s="50">
        <v>45962</v>
      </c>
      <c r="L8" s="30" t="b">
        <v>1</v>
      </c>
    </row>
    <row r="9" spans="1:17" x14ac:dyDescent="0.3">
      <c r="A9" s="60"/>
      <c r="B9" s="22">
        <v>3</v>
      </c>
      <c r="C9" s="22">
        <v>2</v>
      </c>
      <c r="D9" s="25" t="s">
        <v>26</v>
      </c>
      <c r="E9" s="20" t="s">
        <v>27</v>
      </c>
      <c r="F9" s="20" t="s">
        <v>23</v>
      </c>
      <c r="G9" s="20">
        <f>IF(F9="","",_xlfn.XLOOKUP(F9,Listas!$B$2:$B$7,Listas!$C$2:$C$7))</f>
        <v>5</v>
      </c>
      <c r="H9" s="20">
        <v>1</v>
      </c>
      <c r="I9" s="21">
        <v>45964</v>
      </c>
      <c r="J9" s="52" t="b">
        <f t="shared" si="1"/>
        <v>1</v>
      </c>
      <c r="K9" s="51">
        <v>45962</v>
      </c>
      <c r="L9" s="31" t="b">
        <v>1</v>
      </c>
    </row>
    <row r="10" spans="1:17" x14ac:dyDescent="0.3">
      <c r="A10" s="60"/>
      <c r="B10" s="11">
        <v>3</v>
      </c>
      <c r="C10" s="11">
        <v>3</v>
      </c>
      <c r="D10" s="5" t="s">
        <v>29</v>
      </c>
      <c r="E10" s="2" t="s">
        <v>27</v>
      </c>
      <c r="F10" s="2" t="s">
        <v>16</v>
      </c>
      <c r="G10" s="2">
        <f>IF(F10="","",_xlfn.XLOOKUP(F10,Listas!$B$2:$B$7,Listas!$C$2:$C$7))</f>
        <v>8</v>
      </c>
      <c r="H10" s="2">
        <v>1</v>
      </c>
      <c r="I10" s="13">
        <v>45964</v>
      </c>
      <c r="J10" s="52" t="b">
        <f t="shared" si="1"/>
        <v>1</v>
      </c>
      <c r="K10" s="50">
        <v>45962</v>
      </c>
      <c r="L10" s="30" t="b">
        <v>1</v>
      </c>
    </row>
    <row r="11" spans="1:17" x14ac:dyDescent="0.3">
      <c r="A11" s="60"/>
      <c r="B11" s="22">
        <v>3</v>
      </c>
      <c r="C11" s="22">
        <v>4</v>
      </c>
      <c r="D11" s="27" t="s">
        <v>30</v>
      </c>
      <c r="E11" s="20" t="s">
        <v>27</v>
      </c>
      <c r="F11" s="20" t="s">
        <v>16</v>
      </c>
      <c r="G11" s="20">
        <f>IF(F11="","",_xlfn.XLOOKUP(F11,Listas!$B$2:$B$7,Listas!$C$2:$C$7))</f>
        <v>8</v>
      </c>
      <c r="H11" s="20">
        <v>1</v>
      </c>
      <c r="I11" s="21">
        <v>45964</v>
      </c>
      <c r="J11" s="52" t="b">
        <f t="shared" si="1"/>
        <v>1</v>
      </c>
      <c r="K11" s="51">
        <v>45962</v>
      </c>
      <c r="L11" s="31" t="b">
        <v>1</v>
      </c>
    </row>
    <row r="12" spans="1:17" x14ac:dyDescent="0.3">
      <c r="A12" s="60"/>
      <c r="B12" s="11">
        <v>3</v>
      </c>
      <c r="C12" s="11">
        <v>5</v>
      </c>
      <c r="D12" s="5" t="s">
        <v>31</v>
      </c>
      <c r="E12" s="2" t="s">
        <v>27</v>
      </c>
      <c r="F12" s="2" t="s">
        <v>23</v>
      </c>
      <c r="G12" s="2">
        <f>IF(F12="","",_xlfn.XLOOKUP(F12,Listas!$B$2:$B$7,Listas!$C$2:$C$7))</f>
        <v>5</v>
      </c>
      <c r="H12" s="2">
        <v>1</v>
      </c>
      <c r="I12" s="13">
        <v>45964</v>
      </c>
      <c r="J12" s="52" t="b">
        <f t="shared" si="1"/>
        <v>1</v>
      </c>
      <c r="K12" s="50">
        <v>45962</v>
      </c>
      <c r="L12" s="30" t="b">
        <v>1</v>
      </c>
    </row>
    <row r="13" spans="1:17" x14ac:dyDescent="0.3">
      <c r="A13" s="23" t="s">
        <v>32</v>
      </c>
      <c r="B13" s="24">
        <v>4</v>
      </c>
      <c r="C13" s="24">
        <v>1</v>
      </c>
      <c r="D13" s="19" t="s">
        <v>33</v>
      </c>
      <c r="E13" s="20" t="s">
        <v>27</v>
      </c>
      <c r="F13" s="20" t="s">
        <v>16</v>
      </c>
      <c r="G13" s="20">
        <f>IF(F13="","",_xlfn.XLOOKUP(F13,Listas!$B$2:$B$7,Listas!$C$2:$C$7))</f>
        <v>8</v>
      </c>
      <c r="H13" s="20">
        <v>1</v>
      </c>
      <c r="I13" s="21">
        <v>45964</v>
      </c>
      <c r="J13" s="52" t="b">
        <f t="shared" si="1"/>
        <v>1</v>
      </c>
      <c r="K13" s="51">
        <v>45962</v>
      </c>
      <c r="L13" s="31" t="b">
        <v>1</v>
      </c>
    </row>
    <row r="14" spans="1:17" x14ac:dyDescent="0.3">
      <c r="A14" s="12" t="s">
        <v>34</v>
      </c>
      <c r="B14" s="10">
        <v>5</v>
      </c>
      <c r="C14" s="10">
        <v>1</v>
      </c>
      <c r="D14" s="3" t="s">
        <v>35</v>
      </c>
      <c r="E14" s="2" t="s">
        <v>15</v>
      </c>
      <c r="F14" s="2" t="s">
        <v>36</v>
      </c>
      <c r="G14" s="2">
        <f>IF(F14="","",_xlfn.XLOOKUP(F14,Listas!$B$2:$B$7,Listas!$C$2:$C$7))</f>
        <v>3</v>
      </c>
      <c r="H14" s="2">
        <v>1</v>
      </c>
      <c r="I14" s="13">
        <v>45964</v>
      </c>
      <c r="J14" s="52" t="b">
        <f t="shared" si="1"/>
        <v>1</v>
      </c>
      <c r="K14" s="50">
        <v>45962</v>
      </c>
      <c r="L14" s="30" t="b">
        <v>1</v>
      </c>
    </row>
    <row r="15" spans="1:17" x14ac:dyDescent="0.3">
      <c r="A15" s="58" t="s">
        <v>37</v>
      </c>
      <c r="B15" s="24">
        <v>6</v>
      </c>
      <c r="C15" s="24">
        <v>1</v>
      </c>
      <c r="D15" s="25" t="s">
        <v>38</v>
      </c>
      <c r="E15" s="20" t="s">
        <v>27</v>
      </c>
      <c r="F15" s="20" t="s">
        <v>16</v>
      </c>
      <c r="G15" s="20">
        <f>IF(F15="","",_xlfn.XLOOKUP(F15,Listas!$B$2:$B$7,Listas!$C$2:$C$7))</f>
        <v>8</v>
      </c>
      <c r="H15" s="20">
        <v>2</v>
      </c>
      <c r="I15" s="21">
        <v>45978</v>
      </c>
      <c r="J15" s="52" t="b">
        <f t="shared" ref="J15:J16" si="3">IF(K15="","",TRUE)</f>
        <v>1</v>
      </c>
      <c r="K15" s="51">
        <v>45970</v>
      </c>
      <c r="L15" s="31" t="b">
        <v>0</v>
      </c>
    </row>
    <row r="16" spans="1:17" x14ac:dyDescent="0.3">
      <c r="A16" s="58"/>
      <c r="B16" s="11">
        <v>6</v>
      </c>
      <c r="C16" s="11">
        <v>2</v>
      </c>
      <c r="D16" s="4" t="s">
        <v>39</v>
      </c>
      <c r="E16" s="2" t="s">
        <v>27</v>
      </c>
      <c r="F16" s="2" t="s">
        <v>16</v>
      </c>
      <c r="G16" s="2">
        <f>IF(F16="","",_xlfn.XLOOKUP(F16,Listas!$B$2:$B$7,Listas!$C$2:$C$7))</f>
        <v>8</v>
      </c>
      <c r="H16" s="2">
        <v>2</v>
      </c>
      <c r="I16" s="13">
        <v>45978</v>
      </c>
      <c r="J16" s="52" t="b">
        <f t="shared" si="3"/>
        <v>1</v>
      </c>
      <c r="K16" s="50">
        <v>45970</v>
      </c>
      <c r="L16" s="30" t="b">
        <v>0</v>
      </c>
    </row>
    <row r="17" spans="1:12" x14ac:dyDescent="0.3">
      <c r="A17" s="58"/>
      <c r="B17" s="24">
        <v>6</v>
      </c>
      <c r="C17" s="24">
        <v>3</v>
      </c>
      <c r="D17" s="55" t="s">
        <v>73</v>
      </c>
      <c r="E17" s="20" t="s">
        <v>27</v>
      </c>
      <c r="F17" s="20" t="s">
        <v>20</v>
      </c>
      <c r="G17" s="20">
        <f>IF(F17="","",_xlfn.XLOOKUP(F17,Listas!$B$2:$B$7,Listas!$C$2:$C$7))</f>
        <v>13</v>
      </c>
      <c r="H17" s="20">
        <v>2</v>
      </c>
      <c r="I17" s="21">
        <v>45971</v>
      </c>
      <c r="J17" s="52" t="b">
        <f t="shared" si="1"/>
        <v>1</v>
      </c>
      <c r="K17" s="51">
        <v>45970</v>
      </c>
      <c r="L17" s="31" t="b">
        <v>0</v>
      </c>
    </row>
    <row r="18" spans="1:12" x14ac:dyDescent="0.3">
      <c r="A18" s="60" t="s">
        <v>40</v>
      </c>
      <c r="B18" s="11">
        <v>7</v>
      </c>
      <c r="C18" s="11">
        <v>1</v>
      </c>
      <c r="D18" s="56" t="s">
        <v>74</v>
      </c>
      <c r="E18" s="2" t="s">
        <v>22</v>
      </c>
      <c r="F18" s="2" t="s">
        <v>60</v>
      </c>
      <c r="G18" s="2">
        <f>IF(F18="","",_xlfn.XLOOKUP(F18,Listas!$B$2:$B$7,Listas!$C$2:$C$7))</f>
        <v>21</v>
      </c>
      <c r="H18" s="2">
        <v>2</v>
      </c>
      <c r="I18" s="13">
        <v>45971</v>
      </c>
      <c r="J18" s="52" t="str">
        <f t="shared" si="1"/>
        <v/>
      </c>
      <c r="K18" s="50"/>
      <c r="L18" s="30" t="b">
        <v>0</v>
      </c>
    </row>
    <row r="19" spans="1:12" x14ac:dyDescent="0.3">
      <c r="A19" s="60"/>
      <c r="B19" s="24">
        <v>7</v>
      </c>
      <c r="C19" s="24">
        <v>2</v>
      </c>
      <c r="D19" s="25" t="s">
        <v>41</v>
      </c>
      <c r="E19" s="20" t="s">
        <v>27</v>
      </c>
      <c r="F19" s="20" t="s">
        <v>20</v>
      </c>
      <c r="G19" s="20">
        <f>IF(F19="","",_xlfn.XLOOKUP(F19,Listas!$B$2:$B$7,Listas!$C$2:$C$7))</f>
        <v>13</v>
      </c>
      <c r="H19" s="20">
        <v>3</v>
      </c>
      <c r="I19" s="21">
        <v>45985</v>
      </c>
      <c r="J19" s="52" t="b">
        <f t="shared" si="1"/>
        <v>1</v>
      </c>
      <c r="K19" s="51">
        <v>45971</v>
      </c>
      <c r="L19" s="31" t="b">
        <v>0</v>
      </c>
    </row>
    <row r="20" spans="1:12" x14ac:dyDescent="0.3">
      <c r="A20" s="60"/>
      <c r="B20" s="10">
        <v>7</v>
      </c>
      <c r="C20" s="11">
        <v>3</v>
      </c>
      <c r="D20" s="5" t="s">
        <v>42</v>
      </c>
      <c r="E20" s="2" t="s">
        <v>27</v>
      </c>
      <c r="F20" s="2" t="s">
        <v>20</v>
      </c>
      <c r="G20" s="2">
        <f>IF(F20="","",_xlfn.XLOOKUP(F20,Listas!$B$2:$B$7,Listas!$C$2:$C$7))</f>
        <v>13</v>
      </c>
      <c r="H20" s="2">
        <v>3</v>
      </c>
      <c r="I20" s="13">
        <v>45985</v>
      </c>
      <c r="J20" s="52" t="b">
        <f t="shared" si="1"/>
        <v>1</v>
      </c>
      <c r="K20" s="50">
        <v>45974</v>
      </c>
      <c r="L20" s="30" t="b">
        <v>0</v>
      </c>
    </row>
    <row r="21" spans="1:12" x14ac:dyDescent="0.3">
      <c r="A21" s="60"/>
      <c r="B21" s="24">
        <v>7</v>
      </c>
      <c r="C21" s="22">
        <v>4</v>
      </c>
      <c r="D21" s="28" t="s">
        <v>43</v>
      </c>
      <c r="E21" s="20" t="s">
        <v>27</v>
      </c>
      <c r="F21" s="20" t="s">
        <v>20</v>
      </c>
      <c r="G21" s="20">
        <f>IF(F21="","",_xlfn.XLOOKUP(F21,Listas!$B$2:$B$7,Listas!$C$2:$C$7))</f>
        <v>13</v>
      </c>
      <c r="H21" s="20">
        <v>3</v>
      </c>
      <c r="I21" s="21">
        <v>45985</v>
      </c>
      <c r="J21" s="52" t="b">
        <f t="shared" si="1"/>
        <v>1</v>
      </c>
      <c r="K21" s="51">
        <v>45971</v>
      </c>
      <c r="L21" s="31" t="b">
        <v>0</v>
      </c>
    </row>
    <row r="22" spans="1:12" x14ac:dyDescent="0.3">
      <c r="A22" s="60"/>
      <c r="B22" s="10">
        <v>7</v>
      </c>
      <c r="C22" s="11">
        <v>5</v>
      </c>
      <c r="D22" s="6" t="s">
        <v>44</v>
      </c>
      <c r="E22" s="2" t="s">
        <v>22</v>
      </c>
      <c r="F22" s="2" t="s">
        <v>20</v>
      </c>
      <c r="G22" s="2">
        <f>IF(F22="","",_xlfn.XLOOKUP(F22,Listas!$B$2:$B$7,Listas!$C$2:$C$7))</f>
        <v>13</v>
      </c>
      <c r="H22" s="2">
        <v>3</v>
      </c>
      <c r="I22" s="13">
        <v>45985</v>
      </c>
      <c r="J22" s="52" t="str">
        <f t="shared" si="1"/>
        <v/>
      </c>
      <c r="K22" s="50"/>
      <c r="L22" s="30" t="b">
        <v>0</v>
      </c>
    </row>
    <row r="23" spans="1:12" x14ac:dyDescent="0.3">
      <c r="A23" s="60"/>
      <c r="B23" s="24">
        <v>7</v>
      </c>
      <c r="C23" s="24">
        <v>6</v>
      </c>
      <c r="D23" s="29" t="s">
        <v>45</v>
      </c>
      <c r="E23" s="20" t="s">
        <v>22</v>
      </c>
      <c r="F23" s="20" t="s">
        <v>20</v>
      </c>
      <c r="G23" s="20">
        <f>IF(F23="","",_xlfn.XLOOKUP(F23,Listas!$B$2:$B$7,Listas!$C$2:$C$7))</f>
        <v>13</v>
      </c>
      <c r="H23" s="20">
        <v>2</v>
      </c>
      <c r="I23" s="21">
        <v>45978</v>
      </c>
      <c r="J23" s="52" t="str">
        <f t="shared" si="1"/>
        <v/>
      </c>
      <c r="K23" s="51"/>
      <c r="L23" s="31" t="b">
        <v>0</v>
      </c>
    </row>
    <row r="24" spans="1:12" x14ac:dyDescent="0.3">
      <c r="A24" s="60"/>
      <c r="B24" s="10">
        <v>7</v>
      </c>
      <c r="C24" s="11">
        <v>7</v>
      </c>
      <c r="D24" s="6" t="s">
        <v>46</v>
      </c>
      <c r="E24" s="2" t="s">
        <v>27</v>
      </c>
      <c r="F24" s="2" t="s">
        <v>20</v>
      </c>
      <c r="G24" s="2">
        <f>IF(F24="","",_xlfn.XLOOKUP(F24,Listas!$B$2:$B$7,Listas!$C$2:$C$7))</f>
        <v>13</v>
      </c>
      <c r="H24" s="2">
        <v>2</v>
      </c>
      <c r="I24" s="13">
        <v>45978</v>
      </c>
      <c r="J24" s="52" t="str">
        <f t="shared" si="1"/>
        <v/>
      </c>
      <c r="K24" s="50"/>
      <c r="L24" s="30" t="b">
        <v>0</v>
      </c>
    </row>
    <row r="25" spans="1:12" x14ac:dyDescent="0.3">
      <c r="A25" s="60"/>
      <c r="B25" s="24">
        <v>7</v>
      </c>
      <c r="C25" s="22">
        <v>8</v>
      </c>
      <c r="D25" s="28" t="s">
        <v>47</v>
      </c>
      <c r="E25" s="20" t="s">
        <v>22</v>
      </c>
      <c r="F25" s="20" t="s">
        <v>16</v>
      </c>
      <c r="G25" s="20">
        <f>IF(F25="","",_xlfn.XLOOKUP(F25,Listas!$B$2:$B$7,Listas!$C$2:$C$7))</f>
        <v>8</v>
      </c>
      <c r="H25" s="20">
        <v>3</v>
      </c>
      <c r="I25" s="21">
        <v>45985</v>
      </c>
      <c r="J25" s="52" t="str">
        <f t="shared" si="1"/>
        <v/>
      </c>
      <c r="K25" s="51"/>
      <c r="L25" s="31" t="b">
        <v>0</v>
      </c>
    </row>
    <row r="26" spans="1:12" x14ac:dyDescent="0.3">
      <c r="A26" s="60"/>
      <c r="B26" s="10">
        <v>7</v>
      </c>
      <c r="C26" s="11">
        <v>9</v>
      </c>
      <c r="D26" s="6" t="s">
        <v>48</v>
      </c>
      <c r="E26" s="2" t="s">
        <v>27</v>
      </c>
      <c r="F26" s="2" t="s">
        <v>20</v>
      </c>
      <c r="G26" s="2">
        <f>IF(F26="","",_xlfn.XLOOKUP(F26,Listas!$B$2:$B$7,Listas!$C$2:$C$7))</f>
        <v>13</v>
      </c>
      <c r="H26" s="2">
        <v>3</v>
      </c>
      <c r="I26" s="13">
        <v>45985</v>
      </c>
      <c r="J26" s="52" t="str">
        <f t="shared" si="1"/>
        <v/>
      </c>
      <c r="K26" s="50"/>
      <c r="L26" s="30" t="b">
        <v>0</v>
      </c>
    </row>
    <row r="27" spans="1:12" x14ac:dyDescent="0.3">
      <c r="A27" s="60"/>
      <c r="B27" s="24">
        <v>7</v>
      </c>
      <c r="C27" s="24">
        <v>10</v>
      </c>
      <c r="D27" s="28" t="s">
        <v>49</v>
      </c>
      <c r="E27" s="20" t="s">
        <v>15</v>
      </c>
      <c r="F27" s="20" t="s">
        <v>23</v>
      </c>
      <c r="G27" s="20">
        <f>IF(F27="","",_xlfn.XLOOKUP(F27,Listas!$B$2:$B$7,Listas!$C$2:$C$7))</f>
        <v>5</v>
      </c>
      <c r="H27" s="20">
        <v>1</v>
      </c>
      <c r="I27" s="21">
        <v>45971</v>
      </c>
      <c r="J27" s="52" t="b">
        <f t="shared" si="1"/>
        <v>1</v>
      </c>
      <c r="K27" s="51">
        <v>45977</v>
      </c>
      <c r="L27" s="31" t="b">
        <v>0</v>
      </c>
    </row>
    <row r="28" spans="1:12" x14ac:dyDescent="0.3">
      <c r="A28" s="60"/>
      <c r="B28" s="10">
        <v>7</v>
      </c>
      <c r="C28" s="11">
        <v>11</v>
      </c>
      <c r="D28" s="6" t="s">
        <v>50</v>
      </c>
      <c r="E28" s="2" t="s">
        <v>15</v>
      </c>
      <c r="F28" s="2" t="s">
        <v>16</v>
      </c>
      <c r="G28" s="2">
        <f>IF(F28="","",_xlfn.XLOOKUP(F28,Listas!$B$2:$B$7,Listas!$C$2:$C$7))</f>
        <v>8</v>
      </c>
      <c r="H28" s="2">
        <v>2</v>
      </c>
      <c r="I28" s="13">
        <v>45971</v>
      </c>
      <c r="J28" s="52" t="b">
        <f t="shared" si="1"/>
        <v>1</v>
      </c>
      <c r="K28" s="50">
        <v>45971</v>
      </c>
      <c r="L28" s="30" t="b">
        <v>0</v>
      </c>
    </row>
    <row r="29" spans="1:12" x14ac:dyDescent="0.3">
      <c r="A29" s="60"/>
      <c r="B29" s="24">
        <v>7</v>
      </c>
      <c r="C29" s="22">
        <v>12</v>
      </c>
      <c r="D29" s="28" t="s">
        <v>51</v>
      </c>
      <c r="E29" s="20" t="s">
        <v>27</v>
      </c>
      <c r="F29" s="20" t="s">
        <v>20</v>
      </c>
      <c r="G29" s="20">
        <f>IF(F29="","",_xlfn.XLOOKUP(F29,Listas!$B$2:$B$7,Listas!$C$2:$C$7))</f>
        <v>13</v>
      </c>
      <c r="H29" s="20">
        <v>3</v>
      </c>
      <c r="I29" s="21">
        <v>45978</v>
      </c>
      <c r="J29" s="52" t="b">
        <f t="shared" si="1"/>
        <v>1</v>
      </c>
      <c r="K29" s="51">
        <v>45974</v>
      </c>
      <c r="L29" s="31" t="b">
        <v>0</v>
      </c>
    </row>
    <row r="30" spans="1:12" x14ac:dyDescent="0.3">
      <c r="A30" s="60"/>
      <c r="B30" s="10">
        <v>7</v>
      </c>
      <c r="C30" s="11">
        <v>13</v>
      </c>
      <c r="D30" s="6" t="s">
        <v>52</v>
      </c>
      <c r="E30" s="2" t="s">
        <v>15</v>
      </c>
      <c r="F30" s="2" t="s">
        <v>23</v>
      </c>
      <c r="G30" s="2">
        <f>IF(F30="","",_xlfn.XLOOKUP(F30,Listas!$B$2:$B$7,Listas!$C$2:$C$7))</f>
        <v>5</v>
      </c>
      <c r="H30" s="2">
        <v>1</v>
      </c>
      <c r="I30" s="13">
        <v>45971</v>
      </c>
      <c r="J30" s="52" t="b">
        <f t="shared" si="1"/>
        <v>1</v>
      </c>
      <c r="K30" s="50">
        <v>45971</v>
      </c>
      <c r="L30" s="30" t="b">
        <v>0</v>
      </c>
    </row>
    <row r="31" spans="1:12" x14ac:dyDescent="0.3">
      <c r="A31" s="60"/>
      <c r="B31" s="24">
        <v>7</v>
      </c>
      <c r="C31" s="24">
        <v>14</v>
      </c>
      <c r="D31" s="28" t="s">
        <v>53</v>
      </c>
      <c r="E31" s="20" t="s">
        <v>15</v>
      </c>
      <c r="F31" s="20" t="s">
        <v>16</v>
      </c>
      <c r="G31" s="20">
        <f>IF(F31="","",_xlfn.XLOOKUP(F31,Listas!$B$2:$B$7,Listas!$C$2:$C$7))</f>
        <v>8</v>
      </c>
      <c r="H31" s="20">
        <v>2</v>
      </c>
      <c r="I31" s="21">
        <v>45971</v>
      </c>
      <c r="J31" s="52" t="b">
        <f t="shared" si="1"/>
        <v>1</v>
      </c>
      <c r="K31" s="51">
        <v>45971</v>
      </c>
      <c r="L31" s="31" t="b">
        <v>0</v>
      </c>
    </row>
    <row r="32" spans="1:12" x14ac:dyDescent="0.3">
      <c r="A32" s="60"/>
      <c r="B32" s="10">
        <v>7</v>
      </c>
      <c r="C32" s="11">
        <v>15</v>
      </c>
      <c r="D32" s="6" t="s">
        <v>54</v>
      </c>
      <c r="E32" s="2" t="s">
        <v>27</v>
      </c>
      <c r="F32" s="2" t="s">
        <v>20</v>
      </c>
      <c r="G32" s="2">
        <f>IF(F32="","",_xlfn.XLOOKUP(F32,Listas!$B$2:$B$7,Listas!$C$2:$C$7))</f>
        <v>13</v>
      </c>
      <c r="H32" s="2">
        <v>3</v>
      </c>
      <c r="I32" s="13">
        <v>45978</v>
      </c>
      <c r="J32" s="52" t="b">
        <f t="shared" si="1"/>
        <v>1</v>
      </c>
      <c r="K32" s="50">
        <v>45974</v>
      </c>
      <c r="L32" s="30" t="b">
        <v>0</v>
      </c>
    </row>
    <row r="33" spans="1:12" x14ac:dyDescent="0.3">
      <c r="A33" s="60"/>
      <c r="B33" s="24">
        <v>7</v>
      </c>
      <c r="C33" s="22">
        <v>16</v>
      </c>
      <c r="D33" s="28" t="s">
        <v>55</v>
      </c>
      <c r="E33" s="20" t="s">
        <v>15</v>
      </c>
      <c r="F33" s="20" t="s">
        <v>23</v>
      </c>
      <c r="G33" s="20">
        <f>IF(F33="","",_xlfn.XLOOKUP(F33,Listas!$B$2:$B$7,Listas!$C$2:$C$7))</f>
        <v>5</v>
      </c>
      <c r="H33" s="20">
        <v>1</v>
      </c>
      <c r="I33" s="21">
        <v>45978</v>
      </c>
      <c r="J33" s="52" t="str">
        <f t="shared" si="1"/>
        <v/>
      </c>
      <c r="K33" s="51"/>
      <c r="L33" s="31" t="b">
        <v>0</v>
      </c>
    </row>
    <row r="34" spans="1:12" x14ac:dyDescent="0.3">
      <c r="A34" s="60"/>
      <c r="B34" s="10">
        <v>7</v>
      </c>
      <c r="C34" s="10">
        <v>17</v>
      </c>
      <c r="D34" s="6" t="s">
        <v>56</v>
      </c>
      <c r="E34" s="2" t="s">
        <v>27</v>
      </c>
      <c r="F34" s="2" t="s">
        <v>16</v>
      </c>
      <c r="G34" s="2">
        <f>IF(F34="","",_xlfn.XLOOKUP(F34,Listas!$B$2:$B$7,Listas!$C$2:$C$7))</f>
        <v>8</v>
      </c>
      <c r="H34" s="2">
        <v>2</v>
      </c>
      <c r="I34" s="13">
        <v>45978</v>
      </c>
      <c r="J34" s="52" t="str">
        <f t="shared" si="1"/>
        <v/>
      </c>
      <c r="K34" s="50"/>
      <c r="L34" s="30" t="b">
        <v>0</v>
      </c>
    </row>
    <row r="35" spans="1:12" x14ac:dyDescent="0.3">
      <c r="A35" s="60"/>
      <c r="B35" s="24">
        <v>7</v>
      </c>
      <c r="C35" s="22">
        <v>18</v>
      </c>
      <c r="D35" s="28" t="s">
        <v>57</v>
      </c>
      <c r="E35" s="20" t="s">
        <v>27</v>
      </c>
      <c r="F35" s="20" t="s">
        <v>20</v>
      </c>
      <c r="G35" s="20">
        <f>IF(F35="","",_xlfn.XLOOKUP(F35,Listas!$B$2:$B$7,Listas!$C$2:$C$7))</f>
        <v>13</v>
      </c>
      <c r="H35" s="20">
        <v>3</v>
      </c>
      <c r="I35" s="21">
        <v>45985</v>
      </c>
      <c r="J35" s="52" t="str">
        <f t="shared" si="1"/>
        <v/>
      </c>
      <c r="K35" s="51"/>
      <c r="L35" s="31" t="b">
        <v>0</v>
      </c>
    </row>
    <row r="36" spans="1:12" x14ac:dyDescent="0.3">
      <c r="A36" s="60"/>
      <c r="B36" s="10">
        <v>7</v>
      </c>
      <c r="C36" s="11">
        <v>19</v>
      </c>
      <c r="D36" s="6" t="s">
        <v>58</v>
      </c>
      <c r="E36" s="2" t="s">
        <v>15</v>
      </c>
      <c r="F36" s="2" t="s">
        <v>23</v>
      </c>
      <c r="G36" s="2">
        <f>IF(F36="","",_xlfn.XLOOKUP(F36,Listas!$B$2:$B$7,Listas!$C$2:$C$7))</f>
        <v>5</v>
      </c>
      <c r="H36" s="2">
        <v>1</v>
      </c>
      <c r="I36" s="13">
        <v>45978</v>
      </c>
      <c r="J36" s="52" t="b">
        <f t="shared" si="1"/>
        <v>1</v>
      </c>
      <c r="K36" s="50">
        <v>45977</v>
      </c>
      <c r="L36" s="30" t="b">
        <v>0</v>
      </c>
    </row>
    <row r="37" spans="1:12" x14ac:dyDescent="0.3">
      <c r="A37" s="60"/>
      <c r="B37" s="24">
        <v>7</v>
      </c>
      <c r="C37" s="24">
        <v>20</v>
      </c>
      <c r="D37" s="28" t="s">
        <v>59</v>
      </c>
      <c r="E37" s="20" t="s">
        <v>15</v>
      </c>
      <c r="F37" s="20" t="s">
        <v>60</v>
      </c>
      <c r="G37" s="20">
        <f>IF(F37="","",_xlfn.XLOOKUP(F37,Listas!$B$2:$B$7,Listas!$C$2:$C$7))</f>
        <v>21</v>
      </c>
      <c r="H37" s="20">
        <v>2</v>
      </c>
      <c r="I37" s="21">
        <v>45978</v>
      </c>
      <c r="J37" s="52" t="b">
        <f t="shared" si="1"/>
        <v>1</v>
      </c>
      <c r="K37" s="51">
        <v>45986</v>
      </c>
      <c r="L37" s="31" t="b">
        <v>0</v>
      </c>
    </row>
    <row r="38" spans="1:12" x14ac:dyDescent="0.3">
      <c r="A38" s="60"/>
      <c r="B38" s="10">
        <v>7</v>
      </c>
      <c r="C38" s="11">
        <v>21</v>
      </c>
      <c r="D38" s="6" t="s">
        <v>61</v>
      </c>
      <c r="E38" s="2" t="s">
        <v>27</v>
      </c>
      <c r="F38" s="2" t="s">
        <v>20</v>
      </c>
      <c r="G38" s="2">
        <f>IF(F38="","",_xlfn.XLOOKUP(F38,Listas!$B$2:$B$7,Listas!$C$2:$C$7))</f>
        <v>13</v>
      </c>
      <c r="H38" s="2">
        <v>3</v>
      </c>
      <c r="I38" s="13">
        <v>45978</v>
      </c>
      <c r="J38" s="52" t="b">
        <f t="shared" si="1"/>
        <v>1</v>
      </c>
      <c r="K38" s="50">
        <v>45977</v>
      </c>
      <c r="L38" s="30" t="b">
        <v>0</v>
      </c>
    </row>
    <row r="39" spans="1:12" ht="28.8" x14ac:dyDescent="0.3">
      <c r="A39" s="58" t="s">
        <v>62</v>
      </c>
      <c r="B39" s="22">
        <v>8</v>
      </c>
      <c r="C39" s="22">
        <v>1</v>
      </c>
      <c r="D39" s="26" t="s">
        <v>63</v>
      </c>
      <c r="E39" s="20" t="s">
        <v>27</v>
      </c>
      <c r="F39" s="20" t="s">
        <v>23</v>
      </c>
      <c r="G39" s="20">
        <f>IF(F39="","",_xlfn.XLOOKUP(F39,Listas!$B$2:$B$7,Listas!$C$2:$C$7))</f>
        <v>5</v>
      </c>
      <c r="H39" s="20">
        <v>1</v>
      </c>
      <c r="I39" s="21">
        <v>45971</v>
      </c>
      <c r="J39" s="52" t="b">
        <f t="shared" si="1"/>
        <v>1</v>
      </c>
      <c r="K39" s="51">
        <v>45962</v>
      </c>
      <c r="L39" s="31" t="b">
        <v>1</v>
      </c>
    </row>
    <row r="40" spans="1:12" x14ac:dyDescent="0.3">
      <c r="A40" s="58"/>
      <c r="B40" s="11">
        <v>8</v>
      </c>
      <c r="C40" s="11">
        <v>2</v>
      </c>
      <c r="D40" s="4" t="s">
        <v>64</v>
      </c>
      <c r="E40" s="2" t="s">
        <v>15</v>
      </c>
      <c r="F40" s="2" t="s">
        <v>16</v>
      </c>
      <c r="G40" s="2">
        <f>IF(F40="","",_xlfn.XLOOKUP(F40,Listas!$B$2:$B$7,Listas!$C$2:$C$7))</f>
        <v>8</v>
      </c>
      <c r="H40" s="2">
        <v>2</v>
      </c>
      <c r="I40" s="13">
        <v>45971</v>
      </c>
      <c r="J40" s="52" t="b">
        <f t="shared" si="1"/>
        <v>1</v>
      </c>
      <c r="K40" s="50">
        <v>45970</v>
      </c>
      <c r="L40" s="30" t="b">
        <v>0</v>
      </c>
    </row>
    <row r="41" spans="1:12" x14ac:dyDescent="0.3">
      <c r="A41" s="58"/>
      <c r="B41" s="22">
        <v>8</v>
      </c>
      <c r="C41" s="22">
        <v>3</v>
      </c>
      <c r="D41" s="25" t="s">
        <v>65</v>
      </c>
      <c r="E41" s="20" t="s">
        <v>15</v>
      </c>
      <c r="F41" s="20" t="s">
        <v>16</v>
      </c>
      <c r="G41" s="20">
        <f>IF(F41="","",_xlfn.XLOOKUP(F41,Listas!$B$2:$B$7,Listas!$C$2:$C$7))</f>
        <v>8</v>
      </c>
      <c r="H41" s="20">
        <v>1</v>
      </c>
      <c r="I41" s="21">
        <v>45971</v>
      </c>
      <c r="J41" s="52" t="b">
        <f t="shared" si="1"/>
        <v>1</v>
      </c>
      <c r="K41" s="51">
        <v>45970</v>
      </c>
      <c r="L41" s="31" t="b">
        <v>0</v>
      </c>
    </row>
    <row r="42" spans="1:12" x14ac:dyDescent="0.3">
      <c r="A42" s="58"/>
      <c r="B42" s="11">
        <v>8</v>
      </c>
      <c r="C42" s="11">
        <v>4</v>
      </c>
      <c r="D42" s="4" t="s">
        <v>66</v>
      </c>
      <c r="E42" s="2" t="s">
        <v>27</v>
      </c>
      <c r="F42" s="2" t="s">
        <v>16</v>
      </c>
      <c r="G42" s="2">
        <f>IF(F42="","",_xlfn.XLOOKUP(F42,Listas!$B$2:$B$7,Listas!$C$2:$C$7))</f>
        <v>8</v>
      </c>
      <c r="H42" s="2">
        <v>3</v>
      </c>
      <c r="I42" s="13">
        <v>45978</v>
      </c>
      <c r="J42" s="52" t="b">
        <f t="shared" si="1"/>
        <v>1</v>
      </c>
      <c r="K42" s="50">
        <v>45977</v>
      </c>
      <c r="L42" s="30" t="b">
        <v>0</v>
      </c>
    </row>
    <row r="43" spans="1:12" x14ac:dyDescent="0.3">
      <c r="A43" s="59" t="s">
        <v>67</v>
      </c>
      <c r="B43" s="22">
        <v>9</v>
      </c>
      <c r="C43" s="22">
        <v>1</v>
      </c>
      <c r="D43" s="25" t="s">
        <v>68</v>
      </c>
      <c r="E43" s="20" t="s">
        <v>15</v>
      </c>
      <c r="F43" s="20" t="s">
        <v>20</v>
      </c>
      <c r="G43" s="20">
        <f>IF(F43="","",_xlfn.XLOOKUP(F43,Listas!$B$2:$B$7,Listas!$C$2:$C$7))</f>
        <v>13</v>
      </c>
      <c r="H43" s="20">
        <v>3</v>
      </c>
      <c r="I43" s="21">
        <v>45985</v>
      </c>
      <c r="J43" s="52" t="str">
        <f t="shared" si="1"/>
        <v/>
      </c>
      <c r="K43" s="51"/>
      <c r="L43" s="31" t="b">
        <v>0</v>
      </c>
    </row>
    <row r="44" spans="1:12" x14ac:dyDescent="0.3">
      <c r="A44" s="59"/>
      <c r="B44" s="11">
        <v>9</v>
      </c>
      <c r="C44" s="11">
        <v>2</v>
      </c>
      <c r="D44" s="7" t="s">
        <v>69</v>
      </c>
      <c r="E44" s="2" t="s">
        <v>15</v>
      </c>
      <c r="F44" s="2" t="s">
        <v>16</v>
      </c>
      <c r="G44" s="2">
        <f>IF(F44="","",_xlfn.XLOOKUP(F44,Listas!$B$2:$B$7,Listas!$C$2:$C$7))</f>
        <v>8</v>
      </c>
      <c r="H44" s="2">
        <v>3</v>
      </c>
      <c r="I44" s="13">
        <v>45985</v>
      </c>
      <c r="J44" s="52" t="str">
        <f t="shared" si="1"/>
        <v/>
      </c>
      <c r="K44" s="50"/>
      <c r="L44" s="30" t="b">
        <v>0</v>
      </c>
    </row>
    <row r="46" spans="1:12" x14ac:dyDescent="0.3">
      <c r="D46" s="17"/>
    </row>
    <row r="47" spans="1:12" x14ac:dyDescent="0.3">
      <c r="D47" s="17"/>
    </row>
    <row r="48" spans="1:12" x14ac:dyDescent="0.3">
      <c r="D48" s="17"/>
    </row>
    <row r="49" spans="4:4" x14ac:dyDescent="0.3">
      <c r="D49" s="17"/>
    </row>
    <row r="50" spans="4:4" x14ac:dyDescent="0.3">
      <c r="D50" s="17"/>
    </row>
    <row r="51" spans="4:4" x14ac:dyDescent="0.3">
      <c r="D51" s="17"/>
    </row>
    <row r="52" spans="4:4" x14ac:dyDescent="0.3">
      <c r="D52" s="17"/>
    </row>
    <row r="53" spans="4:4" x14ac:dyDescent="0.3">
      <c r="D53" s="17"/>
    </row>
    <row r="54" spans="4:4" x14ac:dyDescent="0.3">
      <c r="D54" s="17"/>
    </row>
    <row r="55" spans="4:4" x14ac:dyDescent="0.3">
      <c r="D55" s="17"/>
    </row>
    <row r="56" spans="4:4" x14ac:dyDescent="0.3">
      <c r="D56" s="17"/>
    </row>
    <row r="57" spans="4:4" x14ac:dyDescent="0.3">
      <c r="D57" s="17"/>
    </row>
    <row r="58" spans="4:4" x14ac:dyDescent="0.3">
      <c r="D58" s="17"/>
    </row>
    <row r="59" spans="4:4" x14ac:dyDescent="0.3">
      <c r="D59" s="17"/>
    </row>
    <row r="60" spans="4:4" x14ac:dyDescent="0.3">
      <c r="D60" s="17"/>
    </row>
    <row r="61" spans="4:4" x14ac:dyDescent="0.3">
      <c r="D61" s="17"/>
    </row>
    <row r="62" spans="4:4" x14ac:dyDescent="0.3">
      <c r="D62" s="17"/>
    </row>
    <row r="63" spans="4:4" x14ac:dyDescent="0.3">
      <c r="D63" s="17"/>
    </row>
    <row r="64" spans="4:4" x14ac:dyDescent="0.3">
      <c r="D64" s="17"/>
    </row>
    <row r="65" spans="4:4" x14ac:dyDescent="0.3">
      <c r="D65" s="17"/>
    </row>
    <row r="66" spans="4:4" x14ac:dyDescent="0.3">
      <c r="D66" s="17"/>
    </row>
    <row r="67" spans="4:4" x14ac:dyDescent="0.3">
      <c r="D67" s="7"/>
    </row>
    <row r="68" spans="4:4" x14ac:dyDescent="0.3">
      <c r="D68" s="7"/>
    </row>
    <row r="69" spans="4:4" x14ac:dyDescent="0.3">
      <c r="D69" s="7"/>
    </row>
    <row r="70" spans="4:4" x14ac:dyDescent="0.3">
      <c r="D70" s="7"/>
    </row>
  </sheetData>
  <autoFilter ref="A1:L44" xr:uid="{00000000-0001-0000-0000-000000000000}"/>
  <mergeCells count="7">
    <mergeCell ref="J1:K1"/>
    <mergeCell ref="A39:A42"/>
    <mergeCell ref="A43:A44"/>
    <mergeCell ref="A8:A12"/>
    <mergeCell ref="A3:A7"/>
    <mergeCell ref="A15:A17"/>
    <mergeCell ref="A18:A38"/>
  </mergeCells>
  <conditionalFormatting sqref="A1:J1 L1:M1 O1:XFD1 A2:XFD3 B4:XFD4 B5:I7 J5:L8 M5:XFD1048576 A8:I8 A9:L15 B16:L17 A18:L18 B19:L38 A39:L46 A47:C70 E47:L70 A71:L1048576">
    <cfRule type="cellIs" dxfId="10" priority="7" operator="equal">
      <formula>"DESEJÁVEL"</formula>
    </cfRule>
    <cfRule type="cellIs" dxfId="9" priority="8" operator="equal">
      <formula>"IMPORTANTE"</formula>
    </cfRule>
    <cfRule type="cellIs" dxfId="8" priority="10" operator="equal">
      <formula>"ESSENCIAL"</formula>
    </cfRule>
  </conditionalFormatting>
  <dataValidations count="1">
    <dataValidation allowBlank="1" showInputMessage="1" showErrorMessage="1" sqref="K2:K44" xr:uid="{C0F1E678-E456-4DF2-9AD9-7924FB6139DC}"/>
  </dataValidations>
  <pageMargins left="0.7" right="0.7" top="0.75" bottom="0.75" header="0.3" footer="0.3"/>
  <pageSetup paperSize="9" scale="4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BF5EA692-F78A-4388-9EC4-FAFBF5CD47E1}">
            <xm:f>Listas!$E$2</xm:f>
            <x14:dxf>
              <font>
                <color rgb="FFCC58B1"/>
              </font>
              <fill>
                <patternFill patternType="solid">
                  <bgColor rgb="FFFCF2F6"/>
                </patternFill>
              </fill>
            </x14:dxf>
          </x14:cfRule>
          <x14:cfRule type="cellIs" priority="4" operator="equal" id="{18CC79CE-24B9-4F03-B215-2507C17A9FAB}">
            <xm:f>Listas!$E$3</xm:f>
            <x14:dxf>
              <font>
                <color rgb="FFB30C6B"/>
              </font>
              <fill>
                <patternFill patternType="solid">
                  <bgColor rgb="FFFAD7EB"/>
                </patternFill>
              </fill>
            </x14:dxf>
          </x14:cfRule>
          <x14:cfRule type="cellIs" priority="5" operator="equal" id="{87CF561C-9C18-4D32-9D12-84B88B5F5B93}">
            <xm:f>Listas!$E$4</xm:f>
            <x14:dxf>
              <font>
                <color rgb="FFFFF5F6"/>
              </font>
              <fill>
                <patternFill patternType="solid">
                  <bgColor rgb="FFE381AC"/>
                </patternFill>
              </fill>
            </x14:dxf>
          </x14:cfRule>
          <x14:cfRule type="cellIs" priority="6" operator="equal" id="{0824CF78-525D-4FCD-AE90-812577023A4A}">
            <xm:f>Listas!$E$5</xm:f>
            <x14:dxf>
              <font>
                <color rgb="FFFFF5F6"/>
              </font>
              <fill>
                <patternFill patternType="solid">
                  <bgColor rgb="FFB30C6B"/>
                </patternFill>
              </fill>
            </x14:dxf>
          </x14:cfRule>
          <xm:sqref>A1:J1 L1:M1 O1:XFD1 A2:XFD3 B4:XFD4 B5:I7 J5:L8 M5:XFD1048576 A8:I8 A9:L15 B16:L17 A18:L18 B19:L38 A39:L46 A47:C70 E47:L70 A71:L1048576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BCB1527-7317-4D7E-A692-125B8FD6118D}">
          <x14:formula1>
            <xm:f>Listas!$E$2:$E$5</xm:f>
          </x14:formula1>
          <xm:sqref>N3:N6</xm:sqref>
        </x14:dataValidation>
        <x14:dataValidation type="list" showInputMessage="1" showErrorMessage="1" xr:uid="{503E7DAE-EDB6-474F-864E-716F9D882DAF}">
          <x14:formula1>
            <xm:f>Listas!$A$2:$A$5</xm:f>
          </x14:formula1>
          <xm:sqref>E2:E44</xm:sqref>
        </x14:dataValidation>
        <x14:dataValidation type="list" showInputMessage="1" showErrorMessage="1" xr:uid="{904B9BC7-BA26-49A5-8221-8302483833B8}">
          <x14:formula1>
            <xm:f>Listas!$B$2:$B$7</xm:f>
          </x14:formula1>
          <xm:sqref>F2:F44</xm:sqref>
        </x14:dataValidation>
        <x14:dataValidation type="list" showInputMessage="1" showErrorMessage="1" xr:uid="{846C7866-2918-42E4-B1C8-871ACF497667}">
          <x14:formula1>
            <xm:f>Listas!$D$2:$D$5</xm:f>
          </x14:formula1>
          <xm:sqref>H2:H44</xm:sqref>
        </x14:dataValidation>
        <x14:dataValidation type="list" showInputMessage="1" showErrorMessage="1" xr:uid="{281048C2-2B84-4EDD-A65D-F93F61361462}">
          <x14:formula1>
            <xm:f>Listas!$E$2:$E$6</xm:f>
          </x14:formula1>
          <xm:sqref>I2:I44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9CE6-97D7-43F1-B6F4-929C50A1274E}">
  <sheetPr>
    <tabColor theme="8" tint="0.79998168889431442"/>
  </sheetPr>
  <dimension ref="A1:F12"/>
  <sheetViews>
    <sheetView workbookViewId="0">
      <selection sqref="A1:XFD1"/>
    </sheetView>
  </sheetViews>
  <sheetFormatPr defaultColWidth="0" defaultRowHeight="14.4" zeroHeight="1" x14ac:dyDescent="0.3"/>
  <cols>
    <col min="1" max="1" width="19.44140625" bestFit="1" customWidth="1"/>
    <col min="2" max="2" width="14.5546875" bestFit="1" customWidth="1"/>
    <col min="3" max="3" width="13.88671875" bestFit="1" customWidth="1"/>
    <col min="4" max="4" width="15.33203125" bestFit="1" customWidth="1"/>
    <col min="5" max="5" width="17.5546875" style="9" bestFit="1" customWidth="1"/>
    <col min="6" max="6" width="10.6640625" style="8" customWidth="1"/>
  </cols>
  <sheetData>
    <row r="1" spans="1:6" s="54" customFormat="1" ht="15.6" x14ac:dyDescent="0.3">
      <c r="A1" s="14" t="s">
        <v>3</v>
      </c>
      <c r="B1" s="14" t="s">
        <v>4</v>
      </c>
      <c r="C1" s="14" t="s">
        <v>5</v>
      </c>
      <c r="D1" s="14" t="s">
        <v>6</v>
      </c>
      <c r="E1" s="16" t="s">
        <v>7</v>
      </c>
      <c r="F1" s="53"/>
    </row>
    <row r="2" spans="1:6" x14ac:dyDescent="0.3">
      <c r="A2" s="2" t="s">
        <v>15</v>
      </c>
      <c r="B2" s="2" t="s">
        <v>36</v>
      </c>
      <c r="C2" s="2">
        <v>3</v>
      </c>
      <c r="D2" s="2">
        <v>1</v>
      </c>
      <c r="E2" s="13">
        <v>45964</v>
      </c>
      <c r="F2" s="2"/>
    </row>
    <row r="3" spans="1:6" x14ac:dyDescent="0.3">
      <c r="A3" s="2" t="s">
        <v>27</v>
      </c>
      <c r="B3" s="2" t="s">
        <v>23</v>
      </c>
      <c r="C3" s="2">
        <v>5</v>
      </c>
      <c r="D3" s="2">
        <v>2</v>
      </c>
      <c r="E3" s="13">
        <v>45971</v>
      </c>
      <c r="F3" s="2"/>
    </row>
    <row r="4" spans="1:6" x14ac:dyDescent="0.3">
      <c r="A4" s="2" t="s">
        <v>22</v>
      </c>
      <c r="B4" s="2" t="s">
        <v>16</v>
      </c>
      <c r="C4" s="2">
        <f>SUM(C2:C3)</f>
        <v>8</v>
      </c>
      <c r="D4" s="2">
        <v>3</v>
      </c>
      <c r="E4" s="13">
        <v>45978</v>
      </c>
      <c r="F4" s="2"/>
    </row>
    <row r="5" spans="1:6" x14ac:dyDescent="0.3">
      <c r="A5" s="2"/>
      <c r="B5" s="2" t="s">
        <v>20</v>
      </c>
      <c r="C5" s="2">
        <f t="shared" ref="C5:C6" si="0">SUM(C3:C4)</f>
        <v>13</v>
      </c>
      <c r="D5" s="2"/>
      <c r="E5" s="13">
        <v>45985</v>
      </c>
      <c r="F5" s="2"/>
    </row>
    <row r="6" spans="1:6" x14ac:dyDescent="0.3">
      <c r="A6" s="2"/>
      <c r="B6" s="2" t="s">
        <v>60</v>
      </c>
      <c r="C6" s="2">
        <f t="shared" si="0"/>
        <v>21</v>
      </c>
      <c r="D6" s="2"/>
      <c r="E6" s="13"/>
      <c r="F6" s="2"/>
    </row>
    <row r="7" spans="1:6" x14ac:dyDescent="0.3">
      <c r="A7" s="2"/>
      <c r="B7" s="2"/>
      <c r="C7" s="2"/>
      <c r="D7" s="2"/>
      <c r="E7" s="13"/>
    </row>
    <row r="8" spans="1:6" x14ac:dyDescent="0.3">
      <c r="A8" s="2"/>
      <c r="B8" s="2"/>
      <c r="C8" s="2"/>
      <c r="D8" s="2"/>
      <c r="E8" s="13"/>
    </row>
    <row r="11" spans="1:6" hidden="1" x14ac:dyDescent="0.3">
      <c r="D11" s="2"/>
    </row>
    <row r="12" spans="1:6" hidden="1" x14ac:dyDescent="0.3">
      <c r="D12" s="2"/>
    </row>
  </sheetData>
  <conditionalFormatting sqref="A1:E8">
    <cfRule type="cellIs" dxfId="7" priority="1" operator="equal">
      <formula>$E$2</formula>
    </cfRule>
    <cfRule type="cellIs" dxfId="6" priority="2" operator="equal">
      <formula>$E$3</formula>
    </cfRule>
    <cfRule type="cellIs" dxfId="5" priority="3" operator="equal">
      <formula>$E$4</formula>
    </cfRule>
    <cfRule type="cellIs" dxfId="4" priority="4" operator="equal">
      <formula>$E$5</formula>
    </cfRule>
    <cfRule type="cellIs" dxfId="3" priority="5" operator="equal">
      <formula>"DESEJÁVEL"</formula>
    </cfRule>
    <cfRule type="cellIs" dxfId="2" priority="6" operator="equal">
      <formula>"IMPORTANTE"</formula>
    </cfRule>
    <cfRule type="cellIs" dxfId="1" priority="7" operator="equal">
      <formula>"ESSENCIAL"</formula>
    </cfRule>
  </conditionalFormatting>
  <conditionalFormatting sqref="D11:D12">
    <cfRule type="containsText" dxfId="0" priority="8" operator="containsText" text="ESSENCIAL">
      <formula>NOT(ISERROR(SEARCH("ESSENCIAL",D11)))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ANDREIA MIYUKI KUBOTA .</cp:lastModifiedBy>
  <cp:revision/>
  <cp:lastPrinted>2025-11-04T01:32:19Z</cp:lastPrinted>
  <dcterms:created xsi:type="dcterms:W3CDTF">2025-11-01T15:42:11Z</dcterms:created>
  <dcterms:modified xsi:type="dcterms:W3CDTF">2025-11-26T00:58:30Z</dcterms:modified>
  <cp:category/>
  <cp:contentStatus/>
</cp:coreProperties>
</file>